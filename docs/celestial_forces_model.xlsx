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👼 Angels" sheetId="2" state="visible" r:id="rId4"/>
    <sheet name="😈 Demons" sheetId="3" state="visible" r:id="rId5"/>
    <sheet name="⚔️ Force Comparison" sheetId="4" state="visible" r:id="rId6"/>
    <sheet name="💀 Soul Economy" sheetId="5" state="visible" r:id="rId7"/>
    <sheet name="📜 Historical Engagements" sheetId="6" state="visible" r:id="rId8"/>
    <sheet name="📐 Sin-Virtue Matri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<sst xmlns="http://schemas.openxmlformats.org/spreadsheetml/2006/main" count="748" uniqueCount="609">
  <si>
    <t xml:space="preserve">✦  CELESTIAL &amp; INFERNAL FORCES — COMPREHENSIVE STRATEGIC MODEL  ✦</t>
  </si>
  <si>
    <t xml:space="preserve">Eschatological Intelligence Unit · Classification: DIVINE/SENSITIVE · As of: End of Days (Projected)</t>
  </si>
  <si>
    <t xml:space="preserve">Total Angel Headcount</t>
  </si>
  <si>
    <t xml:space="preserve">Total Demon Headcount</t>
  </si>
  <si>
    <t xml:space="preserve">Net Light Advantage</t>
  </si>
  <si>
    <t xml:space="preserve">MODEL ASSUMPTIONS  (blue = user inputs)</t>
  </si>
  <si>
    <t xml:space="preserve">Prayer Multiplier (per 1M prayers/day)</t>
  </si>
  <si>
    <t xml:space="preserve">Corruption Decay Rate (per century)</t>
  </si>
  <si>
    <t xml:space="preserve">Soul Intake Rate — Heaven (souls/day)</t>
  </si>
  <si>
    <t xml:space="preserve">Soul Intake Rate — Hell (souls/day)</t>
  </si>
  <si>
    <t xml:space="preserve">Purgatorial Buffer (souls/day)</t>
  </si>
  <si>
    <t xml:space="preserve">Angelic Reinforcement Cycle (years)</t>
  </si>
  <si>
    <t xml:space="preserve">Demonic Spawn Rate (per fallen angel/millennium)</t>
  </si>
  <si>
    <t xml:space="preserve">Current Eschatological Phase (1=Seals, 2=Trumpets, 3=Bowls)</t>
  </si>
  <si>
    <t xml:space="preserve">SOUL ECONOMY — DAILY FLOW SUMMARY</t>
  </si>
  <si>
    <t xml:space="preserve">Souls entering Heaven/day</t>
  </si>
  <si>
    <t xml:space="preserve">Souls entering Hell/day</t>
  </si>
  <si>
    <t xml:space="preserve">Souls in Purgatory/day</t>
  </si>
  <si>
    <t xml:space="preserve">Net Heaven Surplus/day</t>
  </si>
  <si>
    <t xml:space="preserve">Annualized Soul Balance</t>
  </si>
  <si>
    <t xml:space="preserve">ANGELIC FORCES — COMPLETE ORDER OF BATTLE</t>
  </si>
  <si>
    <t xml:space="preserve">Rank
#</t>
  </si>
  <si>
    <t xml:space="preserve">Name / Designation</t>
  </si>
  <si>
    <t xml:space="preserve">Choir
(Sphere)</t>
  </si>
  <si>
    <t xml:space="preserve">Sphere
Tier (1–3)</t>
  </si>
  <si>
    <t xml:space="preserve">Primary Domain</t>
  </si>
  <si>
    <t xml:space="preserve">Scriptural
Source</t>
  </si>
  <si>
    <t xml:space="preserve">Wing
Count</t>
  </si>
  <si>
    <t xml:space="preserve">Fire
Eyes (Y/N)</t>
  </si>
  <si>
    <t xml:space="preserve">Known
Aliases</t>
  </si>
  <si>
    <t xml:space="preserve">Current
Assignment</t>
  </si>
  <si>
    <t xml:space="preserve">Power
Index (1–100)</t>
  </si>
  <si>
    <t xml:space="preserve">Righteousness
Score (1–10)</t>
  </si>
  <si>
    <t xml:space="preserve">Battle
Rating</t>
  </si>
  <si>
    <t xml:space="preserve">Notes</t>
  </si>
  <si>
    <t xml:space="preserve">Michael</t>
  </si>
  <si>
    <t xml:space="preserve">Seraphim</t>
  </si>
  <si>
    <t xml:space="preserve">Warfare / Protection</t>
  </si>
  <si>
    <t xml:space="preserve">Daniel 10:13, Revelation 12:7</t>
  </si>
  <si>
    <t xml:space="preserve">Y</t>
  </si>
  <si>
    <t xml:space="preserve">Mikael, Micha-El</t>
  </si>
  <si>
    <t xml:space="preserve">Commander, Heavenly Host</t>
  </si>
  <si>
    <t xml:space="preserve">Defeater of Satan; Prince of Israel</t>
  </si>
  <si>
    <t xml:space="preserve">Gabriel</t>
  </si>
  <si>
    <t xml:space="preserve">Revelation / Annunciation</t>
  </si>
  <si>
    <t xml:space="preserve">Luke 1:19, Daniel 9:21</t>
  </si>
  <si>
    <t xml:space="preserve">Jibreel, Gavri'el</t>
  </si>
  <si>
    <t xml:space="preserve">Divine Messenger, Chief</t>
  </si>
  <si>
    <t xml:space="preserve">Announced Incarnation to Mary</t>
  </si>
  <si>
    <t xml:space="preserve">Raphael</t>
  </si>
  <si>
    <t xml:space="preserve">Cherubim</t>
  </si>
  <si>
    <t xml:space="preserve">Healing / Travel</t>
  </si>
  <si>
    <t xml:space="preserve">Tobit 12:15</t>
  </si>
  <si>
    <t xml:space="preserve">N</t>
  </si>
  <si>
    <t xml:space="preserve">Azarias</t>
  </si>
  <si>
    <t xml:space="preserve">Guardian of Pilgrims &amp; Healers</t>
  </si>
  <si>
    <t xml:space="preserve">One of 7 who stand before God</t>
  </si>
  <si>
    <t xml:space="preserve">Uriel</t>
  </si>
  <si>
    <t xml:space="preserve">Wisdom / Light</t>
  </si>
  <si>
    <t xml:space="preserve">2 Esdras 4:1</t>
  </si>
  <si>
    <t xml:space="preserve">Auriel</t>
  </si>
  <si>
    <t xml:space="preserve">Regent of the Sun</t>
  </si>
  <si>
    <t xml:space="preserve">Keeper of the Flaming Sword</t>
  </si>
  <si>
    <t xml:space="preserve">Saraqael</t>
  </si>
  <si>
    <t xml:space="preserve">Souls / Sin</t>
  </si>
  <si>
    <t xml:space="preserve">1 Enoch 20</t>
  </si>
  <si>
    <t xml:space="preserve">Sariel, Suriel</t>
  </si>
  <si>
    <t xml:space="preserve">Overseer of Spirits Who Sin</t>
  </si>
  <si>
    <t xml:space="preserve">Listed among 7 holy angels</t>
  </si>
  <si>
    <t xml:space="preserve">Raguel</t>
  </si>
  <si>
    <t xml:space="preserve">Principalities</t>
  </si>
  <si>
    <t xml:space="preserve">Justice / Harmony</t>
  </si>
  <si>
    <t xml:space="preserve">Raquel, Akrasiel</t>
  </si>
  <si>
    <t xml:space="preserve">Overseer of Good Angels</t>
  </si>
  <si>
    <t xml:space="preserve">Takes vengeance on the world of luminaries</t>
  </si>
  <si>
    <t xml:space="preserve">Remiel</t>
  </si>
  <si>
    <t xml:space="preserve">Hope / Visions</t>
  </si>
  <si>
    <t xml:space="preserve">Hieremiel, Ramiel</t>
  </si>
  <si>
    <t xml:space="preserve">Hope of Those Asleep</t>
  </si>
  <si>
    <t xml:space="preserve">Precides over visions; guide of souls</t>
  </si>
  <si>
    <t xml:space="preserve">Chamuel</t>
  </si>
  <si>
    <t xml:space="preserve">Powers</t>
  </si>
  <si>
    <t xml:space="preserve">Love / Relationships</t>
  </si>
  <si>
    <t xml:space="preserve">Apocryphal tradition</t>
  </si>
  <si>
    <t xml:space="preserve">Camael, Camiel</t>
  </si>
  <si>
    <t xml:space="preserve">Protector of Personal Relationships</t>
  </si>
  <si>
    <t xml:space="preserve">Helps find lost people/objects</t>
  </si>
  <si>
    <t xml:space="preserve">Jophiel</t>
  </si>
  <si>
    <t xml:space="preserve">Beauty / Wisdom</t>
  </si>
  <si>
    <t xml:space="preserve">Kabbalistic tradition</t>
  </si>
  <si>
    <t xml:space="preserve">Iophiel, Zophiel</t>
  </si>
  <si>
    <t xml:space="preserve">Guardian of Eden Gates</t>
  </si>
  <si>
    <t xml:space="preserve">Drove Adam &amp; Eve from paradise</t>
  </si>
  <si>
    <t xml:space="preserve">Azrael</t>
  </si>
  <si>
    <t xml:space="preserve">Archangels</t>
  </si>
  <si>
    <t xml:space="preserve">Death / Transition</t>
  </si>
  <si>
    <t xml:space="preserve">Islamic/Jewish tradition</t>
  </si>
  <si>
    <t xml:space="preserve">Azra'il, Angel of Death</t>
  </si>
  <si>
    <t xml:space="preserve">Escorting Souls at Death</t>
  </si>
  <si>
    <t xml:space="preserve">Has one foot in east, one in west</t>
  </si>
  <si>
    <t xml:space="preserve">Metatron</t>
  </si>
  <si>
    <t xml:space="preserve">Record-keeping / Presence</t>
  </si>
  <si>
    <t xml:space="preserve">Talmud, 3 Enoch</t>
  </si>
  <si>
    <t xml:space="preserve">Youth, Prince of Presence</t>
  </si>
  <si>
    <t xml:space="preserve">Celestial Scribe / Throne Guard</t>
  </si>
  <si>
    <t xml:space="preserve">Formerly Enoch; highest of high</t>
  </si>
  <si>
    <t xml:space="preserve">Sandalphon</t>
  </si>
  <si>
    <t xml:space="preserve">Prayer / Music</t>
  </si>
  <si>
    <t xml:space="preserve">Talmudic tradition</t>
  </si>
  <si>
    <t xml:space="preserve">Twin of Metatron</t>
  </si>
  <si>
    <t xml:space="preserve">Delivering Prayers to God</t>
  </si>
  <si>
    <t xml:space="preserve">Formerly Elijah; collects prayers</t>
  </si>
  <si>
    <t xml:space="preserve">Raziel</t>
  </si>
  <si>
    <t xml:space="preserve">Secrets / Mysteries</t>
  </si>
  <si>
    <t xml:space="preserve">Ratziel, Angel of Mysteries</t>
  </si>
  <si>
    <t xml:space="preserve">Keeper of Divine Secrets</t>
  </si>
  <si>
    <t xml:space="preserve">Gave Adam the Book of Raziel</t>
  </si>
  <si>
    <t xml:space="preserve">Zadkiel</t>
  </si>
  <si>
    <t xml:space="preserve">Dominions</t>
  </si>
  <si>
    <t xml:space="preserve">Mercy / Memory</t>
  </si>
  <si>
    <t xml:space="preserve">Sachiel, Hesediel</t>
  </si>
  <si>
    <t xml:space="preserve">Regent of Jupiter</t>
  </si>
  <si>
    <t xml:space="preserve">Stayed Abraham's hand at Isaac's sacrifice</t>
  </si>
  <si>
    <t xml:space="preserve">Haniel</t>
  </si>
  <si>
    <t xml:space="preserve">Joy / Venus</t>
  </si>
  <si>
    <t xml:space="preserve">Anael, Hamiel</t>
  </si>
  <si>
    <t xml:space="preserve">Regent of Venus</t>
  </si>
  <si>
    <t xml:space="preserve">Carried Enoch to heaven</t>
  </si>
  <si>
    <t xml:space="preserve">Cassiel</t>
  </si>
  <si>
    <t xml:space="preserve">Tears / Saturn</t>
  </si>
  <si>
    <t xml:space="preserve">Grimorium Verum (inverted)</t>
  </si>
  <si>
    <t xml:space="preserve">Kafziel, Qafsiel</t>
  </si>
  <si>
    <t xml:space="preserve">Regent of Saturn; Solitude</t>
  </si>
  <si>
    <t xml:space="preserve">Presides over the tears of kings</t>
  </si>
  <si>
    <t xml:space="preserve">Barbiel</t>
  </si>
  <si>
    <t xml:space="preserve">Virtues</t>
  </si>
  <si>
    <t xml:space="preserve">October / Scorpio</t>
  </si>
  <si>
    <t xml:space="preserve">Apocryphal calendars</t>
  </si>
  <si>
    <t xml:space="preserve">—</t>
  </si>
  <si>
    <t xml:space="preserve">Regent of October</t>
  </si>
  <si>
    <t xml:space="preserve">Monthly regent angel</t>
  </si>
  <si>
    <t xml:space="preserve">Lelahel</t>
  </si>
  <si>
    <t xml:space="preserve">Light / Understanding</t>
  </si>
  <si>
    <t xml:space="preserve">Kabbalistic 72 Angels</t>
  </si>
  <si>
    <t xml:space="preserve">Ambition &amp; Fortune</t>
  </si>
  <si>
    <t xml:space="preserve">Governs sciences and the arts</t>
  </si>
  <si>
    <t xml:space="preserve">Mebahiah</t>
  </si>
  <si>
    <t xml:space="preserve">Morality / Children</t>
  </si>
  <si>
    <t xml:space="preserve">Guardian of Moral Clarity</t>
  </si>
  <si>
    <t xml:space="preserve">Aids in conception</t>
  </si>
  <si>
    <t xml:space="preserve">Ariel</t>
  </si>
  <si>
    <t xml:space="preserve">Nature / Elements</t>
  </si>
  <si>
    <t xml:space="preserve">Isaiah 29:1 (disputed)</t>
  </si>
  <si>
    <t xml:space="preserve">Lion of God</t>
  </si>
  <si>
    <t xml:space="preserve">Overseer of Nature &amp; Wind</t>
  </si>
  <si>
    <t xml:space="preserve">Commands the winds and sea</t>
  </si>
  <si>
    <t xml:space="preserve">Nathaniel</t>
  </si>
  <si>
    <t xml:space="preserve">Fire / Wrath of God</t>
  </si>
  <si>
    <t xml:space="preserve">Nathanael</t>
  </si>
  <si>
    <t xml:space="preserve">Divine Fire Bearer</t>
  </si>
  <si>
    <t xml:space="preserve">Commands fire on command of God</t>
  </si>
  <si>
    <t xml:space="preserve">Phanuel</t>
  </si>
  <si>
    <t xml:space="preserve">Repentance / Hope</t>
  </si>
  <si>
    <t xml:space="preserve">1 Enoch 40:9</t>
  </si>
  <si>
    <t xml:space="preserve">Penuel</t>
  </si>
  <si>
    <t xml:space="preserve">Guardian of Repentance</t>
  </si>
  <si>
    <t xml:space="preserve">One of four presences before God</t>
  </si>
  <si>
    <t xml:space="preserve">Zaphkiel</t>
  </si>
  <si>
    <t xml:space="preserve">Thrones</t>
  </si>
  <si>
    <t xml:space="preserve">Contemplation / Saturn</t>
  </si>
  <si>
    <t xml:space="preserve">Tzaphkiel, Japhkiel</t>
  </si>
  <si>
    <t xml:space="preserve">Chief of Thrones</t>
  </si>
  <si>
    <t xml:space="preserve">Angel of deep contemplation of God</t>
  </si>
  <si>
    <t xml:space="preserve">Camael</t>
  </si>
  <si>
    <t xml:space="preserve">Strength / Courage</t>
  </si>
  <si>
    <t xml:space="preserve">Chamuel, Kemuel</t>
  </si>
  <si>
    <t xml:space="preserve">Chief of Powers</t>
  </si>
  <si>
    <t xml:space="preserve">Said to have wrestled with Moses</t>
  </si>
  <si>
    <t xml:space="preserve">Friendship / Harmony</t>
  </si>
  <si>
    <t xml:space="preserve">1 Enoch 23</t>
  </si>
  <si>
    <t xml:space="preserve">Raquel</t>
  </si>
  <si>
    <t xml:space="preserve">Angel of Fair Treatment</t>
  </si>
  <si>
    <t xml:space="preserve">Watches over conduct of other angels</t>
  </si>
  <si>
    <t xml:space="preserve">Seraphiel</t>
  </si>
  <si>
    <t xml:space="preserve">Highest Praise</t>
  </si>
  <si>
    <t xml:space="preserve">3 Enoch</t>
  </si>
  <si>
    <t xml:space="preserve">Chief Seraph</t>
  </si>
  <si>
    <t xml:space="preserve">Leader of Seraphim Choir</t>
  </si>
  <si>
    <t xml:space="preserve">Presides over all Seraphim</t>
  </si>
  <si>
    <t xml:space="preserve">Cherubiel</t>
  </si>
  <si>
    <t xml:space="preserve">Divine Knowledge</t>
  </si>
  <si>
    <t xml:space="preserve">Chief Cherub</t>
  </si>
  <si>
    <t xml:space="preserve">Leader of Cherubim Choir</t>
  </si>
  <si>
    <t xml:space="preserve">Presides over all Cherubim</t>
  </si>
  <si>
    <t xml:space="preserve">Ophaniel</t>
  </si>
  <si>
    <t xml:space="preserve">Wheels / Omnipresence</t>
  </si>
  <si>
    <t xml:space="preserve">Ofaniel</t>
  </si>
  <si>
    <t xml:space="preserve">Chief of Ophanim (Wheels)</t>
  </si>
  <si>
    <t xml:space="preserve">Has 16 faces, 100 wings, 8496 eyes</t>
  </si>
  <si>
    <t xml:space="preserve">Dominiel</t>
  </si>
  <si>
    <t xml:space="preserve">Authority / Regulation</t>
  </si>
  <si>
    <t xml:space="preserve">Chief Dominion</t>
  </si>
  <si>
    <t xml:space="preserve">Regulates Angelic Duties</t>
  </si>
  <si>
    <t xml:space="preserve">Filters divine power downward</t>
  </si>
  <si>
    <t xml:space="preserve">Verchiel</t>
  </si>
  <si>
    <t xml:space="preserve">Leo / Affection</t>
  </si>
  <si>
    <t xml:space="preserve">Zerachiel</t>
  </si>
  <si>
    <t xml:space="preserve">Regent of Leo</t>
  </si>
  <si>
    <t xml:space="preserve">Angel of affection and love of learning</t>
  </si>
  <si>
    <t xml:space="preserve">TOTALS</t>
  </si>
  <si>
    <t xml:space="preserve">INFERNAL FORCES — COMPLETE ORDER OF BATTLE</t>
  </si>
  <si>
    <t xml:space="preserve">Infernal Title</t>
  </si>
  <si>
    <t xml:space="preserve">Circle
(Dante 1–9)</t>
  </si>
  <si>
    <t xml:space="preserve">Sin Domain</t>
  </si>
  <si>
    <t xml:space="preserve">Primary
Source / Grimoire</t>
  </si>
  <si>
    <t xml:space="preserve">Summoning
Difficulty (1–10)</t>
  </si>
  <si>
    <t xml:space="preserve">Known
Weaknesses</t>
  </si>
  <si>
    <t xml:space="preserve">Preferred
Victim Profile</t>
  </si>
  <si>
    <t xml:space="preserve">Corruption
Index (1–100)</t>
  </si>
  <si>
    <t xml:space="preserve">Malice
Score (1–10)</t>
  </si>
  <si>
    <t xml:space="preserve">Fallen From</t>
  </si>
  <si>
    <t xml:space="preserve">Lucifer/Satan</t>
  </si>
  <si>
    <t xml:space="preserve">Emperor of Hell</t>
  </si>
  <si>
    <t xml:space="preserve">Pride</t>
  </si>
  <si>
    <t xml:space="preserve">Isaiah 14:12, Revelation 20</t>
  </si>
  <si>
    <t xml:space="preserve">The Name of God, Humility</t>
  </si>
  <si>
    <t xml:space="preserve">All humanity</t>
  </si>
  <si>
    <t xml:space="preserve">Seraphim (Choir Leader)</t>
  </si>
  <si>
    <t xml:space="preserve">Adversary; Bearer of Light; covers all 9 circles</t>
  </si>
  <si>
    <t xml:space="preserve">Beelzebub</t>
  </si>
  <si>
    <t xml:space="preserve">Lord of the Flies</t>
  </si>
  <si>
    <t xml:space="preserve">Gluttony</t>
  </si>
  <si>
    <t xml:space="preserve">Matthew 12:24, Goetia</t>
  </si>
  <si>
    <t xml:space="preserve">Fasting, Cleanliness</t>
  </si>
  <si>
    <t xml:space="preserve">The self-indulgent</t>
  </si>
  <si>
    <t xml:space="preserve">Cherubim / Chief Prince</t>
  </si>
  <si>
    <t xml:space="preserve">Second-in-command; commander of flies and plague</t>
  </si>
  <si>
    <t xml:space="preserve">Asmodeus</t>
  </si>
  <si>
    <t xml:space="preserve">Prince of Lust</t>
  </si>
  <si>
    <t xml:space="preserve">Lust</t>
  </si>
  <si>
    <t xml:space="preserve">Tobit 3:8, Testament of Solomon</t>
  </si>
  <si>
    <t xml:space="preserve">Sacred Marriage, Incense</t>
  </si>
  <si>
    <t xml:space="preserve">The lonely and frustrated</t>
  </si>
  <si>
    <t xml:space="preserve">Cherubim (disputed)</t>
  </si>
  <si>
    <t xml:space="preserve">Killed 7 husbands of Sarah; bound by Raphael</t>
  </si>
  <si>
    <t xml:space="preserve">Mammon</t>
  </si>
  <si>
    <t xml:space="preserve">Duke of Greed</t>
  </si>
  <si>
    <t xml:space="preserve">Greed</t>
  </si>
  <si>
    <t xml:space="preserve">Matthew 6:24, Goetia</t>
  </si>
  <si>
    <t xml:space="preserve">Generosity, Poverty vow</t>
  </si>
  <si>
    <t xml:space="preserve">Merchants, financiers</t>
  </si>
  <si>
    <t xml:space="preserve">Wealth personified; Milton placed him in hell's construction</t>
  </si>
  <si>
    <t xml:space="preserve">Leviathan</t>
  </si>
  <si>
    <t xml:space="preserve">Chancellor of Hell</t>
  </si>
  <si>
    <t xml:space="preserve">Envy</t>
  </si>
  <si>
    <t xml:space="preserve">Isaiah 27:1, Job 41</t>
  </si>
  <si>
    <t xml:space="preserve">Holy Water, Light</t>
  </si>
  <si>
    <t xml:space="preserve">The covetous</t>
  </si>
  <si>
    <t xml:space="preserve">Seraphim (Serpent form)</t>
  </si>
  <si>
    <t xml:space="preserve">Sea monster; signed Faust's contract with Mephistopheles</t>
  </si>
  <si>
    <t xml:space="preserve">Belphegor</t>
  </si>
  <si>
    <t xml:space="preserve">Ambassador to France</t>
  </si>
  <si>
    <t xml:space="preserve">Sloth</t>
  </si>
  <si>
    <t xml:space="preserve">Numbers 25:3, De Plancy</t>
  </si>
  <si>
    <t xml:space="preserve">Constant Prayer, Labour</t>
  </si>
  <si>
    <t xml:space="preserve">The complacent</t>
  </si>
  <si>
    <t xml:space="preserve">Seduces via laziness and genius inventions</t>
  </si>
  <si>
    <t xml:space="preserve">Amon</t>
  </si>
  <si>
    <t xml:space="preserve">Marquis of Hell</t>
  </si>
  <si>
    <t xml:space="preserve">Wrath</t>
  </si>
  <si>
    <t xml:space="preserve">Goetia #7</t>
  </si>
  <si>
    <t xml:space="preserve">Patience, Forgiveness</t>
  </si>
  <si>
    <t xml:space="preserve">The wrathful</t>
  </si>
  <si>
    <t xml:space="preserve">Commands 40 legions; wolf with serpent tail</t>
  </si>
  <si>
    <t xml:space="preserve">Mephistopheles</t>
  </si>
  <si>
    <t xml:space="preserve">Goetic Agent / Tempter</t>
  </si>
  <si>
    <t xml:space="preserve">Deception</t>
  </si>
  <si>
    <t xml:space="preserve">Faust (Goethe/Marlowe)</t>
  </si>
  <si>
    <t xml:space="preserve">True Name, Binding circles</t>
  </si>
  <si>
    <t xml:space="preserve">The desperate and clever</t>
  </si>
  <si>
    <t xml:space="preserve">Dominions (disputed)</t>
  </si>
  <si>
    <t xml:space="preserve">Takes Faust's soul; name means 'he who loves not light'</t>
  </si>
  <si>
    <t xml:space="preserve">Baal</t>
  </si>
  <si>
    <t xml:space="preserve">Commander-in-Chief</t>
  </si>
  <si>
    <t xml:space="preserve">Idolatry</t>
  </si>
  <si>
    <t xml:space="preserve">1 Kings 18:21, Goetia #1</t>
  </si>
  <si>
    <t xml:space="preserve">Monotheistic Oath</t>
  </si>
  <si>
    <t xml:space="preserve">The faithless</t>
  </si>
  <si>
    <t xml:space="preserve">Commands 66 legions; appears as cat, toad, or man</t>
  </si>
  <si>
    <t xml:space="preserve">Agares</t>
  </si>
  <si>
    <t xml:space="preserve">Duke of Hell</t>
  </si>
  <si>
    <t xml:space="preserve">Cowardice</t>
  </si>
  <si>
    <t xml:space="preserve">Goetia #2</t>
  </si>
  <si>
    <t xml:space="preserve">Courage vow</t>
  </si>
  <si>
    <t xml:space="preserve">The timid</t>
  </si>
  <si>
    <t xml:space="preserve">Rides a crocodile; makes runaways return</t>
  </si>
  <si>
    <t xml:space="preserve">Valefar</t>
  </si>
  <si>
    <t xml:space="preserve">Duke of Temptation</t>
  </si>
  <si>
    <t xml:space="preserve">Theft</t>
  </si>
  <si>
    <t xml:space="preserve">Goetia #6</t>
  </si>
  <si>
    <t xml:space="preserve">Honesty, Restitution</t>
  </si>
  <si>
    <t xml:space="preserve">The opportunistic</t>
  </si>
  <si>
    <t xml:space="preserve">Has good familiarity with thieves</t>
  </si>
  <si>
    <t xml:space="preserve">Samael</t>
  </si>
  <si>
    <t xml:space="preserve">Angel of Death (Fallen)</t>
  </si>
  <si>
    <t xml:space="preserve">Accusation</t>
  </si>
  <si>
    <t xml:space="preserve">Talmud, Midrash</t>
  </si>
  <si>
    <t xml:space="preserve">Divine Decree</t>
  </si>
  <si>
    <t xml:space="preserve">The condemned</t>
  </si>
  <si>
    <t xml:space="preserve">Chief accuser; husband of Lilith in some traditions</t>
  </si>
  <si>
    <t xml:space="preserve">Lilith</t>
  </si>
  <si>
    <t xml:space="preserve">Queen of Demons</t>
  </si>
  <si>
    <t xml:space="preserve">Fornication</t>
  </si>
  <si>
    <t xml:space="preserve">Alphabet of Ben Sira, Zohar</t>
  </si>
  <si>
    <t xml:space="preserve">Amulets, 3 angels' names</t>
  </si>
  <si>
    <t xml:space="preserve">Infants, sleeping men</t>
  </si>
  <si>
    <t xml:space="preserve">None (First Woman, unfallen)</t>
  </si>
  <si>
    <t xml:space="preserve">First wife of Adam; mother of incubi/succubi</t>
  </si>
  <si>
    <t xml:space="preserve">Azazel</t>
  </si>
  <si>
    <t xml:space="preserve">Scapegoat Prince</t>
  </si>
  <si>
    <t xml:space="preserve">Corruption</t>
  </si>
  <si>
    <t xml:space="preserve">1 Enoch 8, Leviticus 16</t>
  </si>
  <si>
    <t xml:space="preserve">Atonement ritual</t>
  </si>
  <si>
    <t xml:space="preserve">The violent and vain</t>
  </si>
  <si>
    <t xml:space="preserve">Watchers (Grigori)</t>
  </si>
  <si>
    <t xml:space="preserve">Taught humans metallurgy and cosmetics; imprisoned under desert</t>
  </si>
  <si>
    <t xml:space="preserve">Belial</t>
  </si>
  <si>
    <t xml:space="preserve">King Without a Master</t>
  </si>
  <si>
    <t xml:space="preserve">Lawlessness</t>
  </si>
  <si>
    <t xml:space="preserve">2 Corinthians 6:15, Goetia</t>
  </si>
  <si>
    <t xml:space="preserve">Divine Law, Order</t>
  </si>
  <si>
    <t xml:space="preserve">The rebellious</t>
  </si>
  <si>
    <t xml:space="preserve">Created after Lucifer; associated with all iniquity</t>
  </si>
  <si>
    <t xml:space="preserve">Astaroth</t>
  </si>
  <si>
    <t xml:space="preserve">Duke / Grand Treasurer</t>
  </si>
  <si>
    <t xml:space="preserve">Vanity</t>
  </si>
  <si>
    <t xml:space="preserve">Goetia #29</t>
  </si>
  <si>
    <t xml:space="preserve">Ring of Solomon</t>
  </si>
  <si>
    <t xml:space="preserve">The vain and ambitious</t>
  </si>
  <si>
    <t xml:space="preserve">Former Ishtar; rides a dragon; commands 40 legions</t>
  </si>
  <si>
    <t xml:space="preserve">Furfur</t>
  </si>
  <si>
    <t xml:space="preserve">Earl of Hell</t>
  </si>
  <si>
    <t xml:space="preserve">Storms</t>
  </si>
  <si>
    <t xml:space="preserve">Goetia #34</t>
  </si>
  <si>
    <t xml:space="preserve">Binding triangle</t>
  </si>
  <si>
    <t xml:space="preserve">Lovers and weathermen</t>
  </si>
  <si>
    <t xml:space="preserve">Creates storms and love; appears as winged hart</t>
  </si>
  <si>
    <t xml:space="preserve">Sitri</t>
  </si>
  <si>
    <t xml:space="preserve">Prince of Lust (minor)</t>
  </si>
  <si>
    <t xml:space="preserve">Goetia #12</t>
  </si>
  <si>
    <t xml:space="preserve">Sacred Vow of Chastity</t>
  </si>
  <si>
    <t xml:space="preserve">The romantically frustrated</t>
  </si>
  <si>
    <t xml:space="preserve">Inflames men and women with desire; commands 60 legions</t>
  </si>
  <si>
    <t xml:space="preserve">Gaap</t>
  </si>
  <si>
    <t xml:space="preserve">Prince &amp; President</t>
  </si>
  <si>
    <t xml:space="preserve">Indifference</t>
  </si>
  <si>
    <t xml:space="preserve">Goetia #33</t>
  </si>
  <si>
    <t xml:space="preserve">Strong Attachment, Love</t>
  </si>
  <si>
    <t xml:space="preserve">The emotionally distant</t>
  </si>
  <si>
    <t xml:space="preserve">Makes men insensible; transports spirits</t>
  </si>
  <si>
    <t xml:space="preserve">Vine</t>
  </si>
  <si>
    <t xml:space="preserve">King &amp; Earl</t>
  </si>
  <si>
    <t xml:space="preserve">Chaos</t>
  </si>
  <si>
    <t xml:space="preserve">Goetia #45</t>
  </si>
  <si>
    <t xml:space="preserve">Stability, Divine Order</t>
  </si>
  <si>
    <t xml:space="preserve">The chaotic</t>
  </si>
  <si>
    <t xml:space="preserve">Builds towers, destroys walls; creates storms</t>
  </si>
  <si>
    <t xml:space="preserve">Phenex</t>
  </si>
  <si>
    <t xml:space="preserve">False Hope</t>
  </si>
  <si>
    <t xml:space="preserve">Goetia #37</t>
  </si>
  <si>
    <t xml:space="preserve">Reality, Grounding</t>
  </si>
  <si>
    <t xml:space="preserve">The delusional dreamers</t>
  </si>
  <si>
    <t xml:space="preserve">Appears as phoenix; laments his condition; poet</t>
  </si>
  <si>
    <t xml:space="preserve">Abaddon/Apollyon</t>
  </si>
  <si>
    <t xml:space="preserve">Angel of the Abyss</t>
  </si>
  <si>
    <t xml:space="preserve">Destruction</t>
  </si>
  <si>
    <t xml:space="preserve">Revelation 9:11</t>
  </si>
  <si>
    <t xml:space="preserve">Seal of God</t>
  </si>
  <si>
    <t xml:space="preserve">The condemned masses</t>
  </si>
  <si>
    <t xml:space="preserve">King of Locusts; unleashed at 5th Trumpet</t>
  </si>
  <si>
    <t xml:space="preserve">Moloch</t>
  </si>
  <si>
    <t xml:space="preserve">King of Sacrificial Fire</t>
  </si>
  <si>
    <t xml:space="preserve">Child Sacrifice</t>
  </si>
  <si>
    <t xml:space="preserve">1 Kings 11:7, 2 Kings 23:10</t>
  </si>
  <si>
    <t xml:space="preserve">Innocence, Child's Prayer</t>
  </si>
  <si>
    <t xml:space="preserve">Parents who bargain</t>
  </si>
  <si>
    <t xml:space="preserve">Required child sacrifice; Tophet/Valley of Hinnom</t>
  </si>
  <si>
    <t xml:space="preserve">Prince of Inventions</t>
  </si>
  <si>
    <t xml:space="preserve">Vanity/Sloth</t>
  </si>
  <si>
    <t xml:space="preserve">De Plancy Dictionnaire</t>
  </si>
  <si>
    <t xml:space="preserve">Celibacy, Abstinence</t>
  </si>
  <si>
    <t xml:space="preserve">The vain inventor</t>
  </si>
  <si>
    <t xml:space="preserve">Appears as beautiful woman OR old bearded man (context-dependent)</t>
  </si>
  <si>
    <t xml:space="preserve">Glasya-Labolas</t>
  </si>
  <si>
    <t xml:space="preserve">President of Hell</t>
  </si>
  <si>
    <t xml:space="preserve">Bloodshed</t>
  </si>
  <si>
    <t xml:space="preserve">Goetia #25</t>
  </si>
  <si>
    <t xml:space="preserve">Non-violence oaths</t>
  </si>
  <si>
    <t xml:space="preserve">The murderous and learned</t>
  </si>
  <si>
    <t xml:space="preserve">Teaches arts and sciences; causes sudden violence</t>
  </si>
  <si>
    <t xml:space="preserve">Haures</t>
  </si>
  <si>
    <t xml:space="preserve">Lies</t>
  </si>
  <si>
    <t xml:space="preserve">Goetia #64</t>
  </si>
  <si>
    <t xml:space="preserve">Truth binding</t>
  </si>
  <si>
    <t xml:space="preserve">The self-deceived</t>
  </si>
  <si>
    <t xml:space="preserve">Appears as leopard; destroys enemies by fire</t>
  </si>
  <si>
    <t xml:space="preserve">Ipos</t>
  </si>
  <si>
    <t xml:space="preserve">Count &amp; Prince</t>
  </si>
  <si>
    <t xml:space="preserve">Impudence</t>
  </si>
  <si>
    <t xml:space="preserve">Goetia #22</t>
  </si>
  <si>
    <t xml:space="preserve">Humility vow</t>
  </si>
  <si>
    <t xml:space="preserve">The arrogant</t>
  </si>
  <si>
    <t xml:space="preserve">Has body of angel, head of lion, tail of hare; bold</t>
  </si>
  <si>
    <t xml:space="preserve">Marbas</t>
  </si>
  <si>
    <t xml:space="preserve">Disease/Cure</t>
  </si>
  <si>
    <t xml:space="preserve">Goetia #5</t>
  </si>
  <si>
    <t xml:space="preserve">Health of spirit</t>
  </si>
  <si>
    <t xml:space="preserve">Physicians and the sick</t>
  </si>
  <si>
    <t xml:space="preserve">Causes and heals diseases; teaches mechanics</t>
  </si>
  <si>
    <t xml:space="preserve">Andromalius</t>
  </si>
  <si>
    <t xml:space="preserve">Count of Hell</t>
  </si>
  <si>
    <t xml:space="preserve">Punisher</t>
  </si>
  <si>
    <t xml:space="preserve">Goetia #72</t>
  </si>
  <si>
    <t xml:space="preserve">Justice, Confession</t>
  </si>
  <si>
    <t xml:space="preserve">Thieves and the dishonest</t>
  </si>
  <si>
    <t xml:space="preserve">Final demon in Goetia; punishes thieves and discovers hidden treasure</t>
  </si>
  <si>
    <t xml:space="preserve">Naberius</t>
  </si>
  <si>
    <t xml:space="preserve">Rhetoric/Arts</t>
  </si>
  <si>
    <t xml:space="preserve">Goetia #24</t>
  </si>
  <si>
    <t xml:space="preserve">Silence, Plainspokenness</t>
  </si>
  <si>
    <t xml:space="preserve">Persuaders and lawyers</t>
  </si>
  <si>
    <t xml:space="preserve">Appears as black crane; makes men cunning in arts</t>
  </si>
  <si>
    <t xml:space="preserve">FORCE COMPARISON — HEAVEN vs. HELL</t>
  </si>
  <si>
    <t xml:space="preserve">Metric</t>
  </si>
  <si>
    <t xml:space="preserve">Heaven</t>
  </si>
  <si>
    <t xml:space="preserve">Hell</t>
  </si>
  <si>
    <t xml:space="preserve">Delta (H−L)</t>
  </si>
  <si>
    <t xml:space="preserve">Winner</t>
  </si>
  <si>
    <t xml:space="preserve">Total Entities on Roster</t>
  </si>
  <si>
    <t xml:space="preserve">Angel count vs Demon count</t>
  </si>
  <si>
    <t xml:space="preserve">Average Power / Corruption Index</t>
  </si>
  <si>
    <t xml:space="preserve">Higher is stronger</t>
  </si>
  <si>
    <t xml:space="preserve">Average Righteousness / Malice Score</t>
  </si>
  <si>
    <t xml:space="preserve">Alignment purity measure</t>
  </si>
  <si>
    <t xml:space="preserve">Total Battle Rating Points</t>
  </si>
  <si>
    <t xml:space="preserve">Aggregate combat capability</t>
  </si>
  <si>
    <t xml:space="preserve">Peak Entity Power (Max)</t>
  </si>
  <si>
    <t xml:space="preserve">Most powerful single entity</t>
  </si>
  <si>
    <t xml:space="preserve">Tier 1 Entities (Sphere 1 / Circle 9)</t>
  </si>
  <si>
    <t xml:space="preserve">Elite-tier count</t>
  </si>
  <si>
    <t xml:space="preserve">Soul Intake Rate (day)</t>
  </si>
  <si>
    <t xml:space="preserve">Daily souls captured</t>
  </si>
  <si>
    <t xml:space="preserve">Projected Souls (Year 1)</t>
  </si>
  <si>
    <t xml:space="preserve">Annualized soul volume</t>
  </si>
  <si>
    <t xml:space="preserve">SOUL ECONOMY — MULTI-CENTURY FLOW MODEL</t>
  </si>
  <si>
    <t xml:space="preserve">Projected soul flows (by century) with eschatological phase adjustments</t>
  </si>
  <si>
    <t xml:space="preserve">Flow Category</t>
  </si>
  <si>
    <t xml:space="preserve">Base Rate (day)</t>
  </si>
  <si>
    <t xml:space="preserve">Century Growth %</t>
  </si>
  <si>
    <t xml:space="preserve">1st Century</t>
  </si>
  <si>
    <t xml:space="preserve">2nd Century</t>
  </si>
  <si>
    <t xml:space="preserve">3rd Century</t>
  </si>
  <si>
    <t xml:space="preserve">4th Century</t>
  </si>
  <si>
    <t xml:space="preserve">5th Century</t>
  </si>
  <si>
    <t xml:space="preserve">6th Century</t>
  </si>
  <si>
    <t xml:space="preserve">7th Century</t>
  </si>
  <si>
    <t xml:space="preserve">8th Century</t>
  </si>
  <si>
    <t xml:space="preserve">9th Century</t>
  </si>
  <si>
    <t xml:space="preserve">10th Century</t>
  </si>
  <si>
    <t xml:space="preserve">Heaven Intake (souls/day)</t>
  </si>
  <si>
    <t xml:space="preserve">Hell Intake (souls/day)</t>
  </si>
  <si>
    <t xml:space="preserve">Purgatory Buffer (souls/day)</t>
  </si>
  <si>
    <t xml:space="preserve">Net Heaven Surplus (day)</t>
  </si>
  <si>
    <t xml:space="preserve">N/A</t>
  </si>
  <si>
    <t xml:space="preserve">Annualized Net Balance</t>
  </si>
  <si>
    <t xml:space="preserve">HISTORICAL CELESTIAL-INFERNAL ENGAGEMENTS — ENGAGEMENT LOG</t>
  </si>
  <si>
    <t xml:space="preserve">Date / Era</t>
  </si>
  <si>
    <t xml:space="preserve">Engagement Name</t>
  </si>
  <si>
    <t xml:space="preserve">Heaven Forces</t>
  </si>
  <si>
    <t xml:space="preserve">Hell Forces</t>
  </si>
  <si>
    <t xml:space="preserve">Theater</t>
  </si>
  <si>
    <t xml:space="preserve">Outcome</t>
  </si>
  <si>
    <t xml:space="preserve">Souls at Stake</t>
  </si>
  <si>
    <t xml:space="preserve">Canonical Source</t>
  </si>
  <si>
    <t xml:space="preserve">Casualties
(Heaven)</t>
  </si>
  <si>
    <t xml:space="preserve">Casualties
(Hell)</t>
  </si>
  <si>
    <t xml:space="preserve">Pre-Creation</t>
  </si>
  <si>
    <t xml:space="preserve">The War in Heaven</t>
  </si>
  <si>
    <t xml:space="preserve">Michael + Loyal Angels</t>
  </si>
  <si>
    <t xml:space="preserve">Lucifer + 1/3 of Angels</t>
  </si>
  <si>
    <t xml:space="preserve">The Firmament</t>
  </si>
  <si>
    <t xml:space="preserve">HEAVEN VICTORY — Rebels cast down</t>
  </si>
  <si>
    <t xml:space="preserve">All souls (existential)</t>
  </si>
  <si>
    <t xml:space="preserve">Revelation 12:7-9; Isaiah 14:12</t>
  </si>
  <si>
    <t xml:space="preserve">0</t>
  </si>
  <si>
    <t xml:space="preserve">~33% of angels</t>
  </si>
  <si>
    <t xml:space="preserve">Garden of Eden</t>
  </si>
  <si>
    <t xml:space="preserve">Temptation of Eve</t>
  </si>
  <si>
    <t xml:space="preserve">Raphael (guardian)</t>
  </si>
  <si>
    <t xml:space="preserve">Serpent (Satan)</t>
  </si>
  <si>
    <t xml:space="preserve">Eden, Earth</t>
  </si>
  <si>
    <t xml:space="preserve">HELL TACTICAL WIN — Eden lost</t>
  </si>
  <si>
    <t xml:space="preserve">All of humanity</t>
  </si>
  <si>
    <t xml:space="preserve">Genesis 3:1-24</t>
  </si>
  <si>
    <t xml:space="preserve">Delayed response</t>
  </si>
  <si>
    <t xml:space="preserve">1 (Adam+Eve, expelled)</t>
  </si>
  <si>
    <t xml:space="preserve">c.1800 BC</t>
  </si>
  <si>
    <t xml:space="preserve">Binding of Azazel</t>
  </si>
  <si>
    <t xml:space="preserve">Azazel + Watchers</t>
  </si>
  <si>
    <t xml:space="preserve">Dudael Desert</t>
  </si>
  <si>
    <t xml:space="preserve">HEAVEN WIN — Azazel bound under rock</t>
  </si>
  <si>
    <t xml:space="preserve">Antediluvian humanity</t>
  </si>
  <si>
    <t xml:space="preserve">1 Enoch 10:4-8</t>
  </si>
  <si>
    <t xml:space="preserve">Azazel bound</t>
  </si>
  <si>
    <t xml:space="preserve">Flood Era</t>
  </si>
  <si>
    <t xml:space="preserve">Great Deluge Enforcement</t>
  </si>
  <si>
    <t xml:space="preserve">Heavenly Waters Released</t>
  </si>
  <si>
    <t xml:space="preserve">Nephilim on Earth</t>
  </si>
  <si>
    <t xml:space="preserve">Global</t>
  </si>
  <si>
    <t xml:space="preserve">HEAVEN WIN — Nephilim destroyed</t>
  </si>
  <si>
    <t xml:space="preserve">~7 billion (antediluvian)</t>
  </si>
  <si>
    <t xml:space="preserve">Genesis 6-8</t>
  </si>
  <si>
    <t xml:space="preserve">All Nephilim</t>
  </si>
  <si>
    <t xml:space="preserve">c.1446 BC</t>
  </si>
  <si>
    <t xml:space="preserve">10 Plagues of Egypt</t>
  </si>
  <si>
    <t xml:space="preserve">Angel of Death (Azrael)</t>
  </si>
  <si>
    <t xml:space="preserve">Egyptian gods (demons)</t>
  </si>
  <si>
    <t xml:space="preserve">Egypt</t>
  </si>
  <si>
    <t xml:space="preserve">HEAVEN WIN — Israel freed</t>
  </si>
  <si>
    <t xml:space="preserve">Egyptian firstborn</t>
  </si>
  <si>
    <t xml:space="preserve">Exodus 7-12</t>
  </si>
  <si>
    <t xml:space="preserve">Estimated 10,000+</t>
  </si>
  <si>
    <t xml:space="preserve">c.701 BC</t>
  </si>
  <si>
    <t xml:space="preserve">Destruction of Sennacherib</t>
  </si>
  <si>
    <t xml:space="preserve">Angel of the LORD</t>
  </si>
  <si>
    <t xml:space="preserve">Assyrian Army (demonized)</t>
  </si>
  <si>
    <t xml:space="preserve">Jerusalem</t>
  </si>
  <si>
    <t xml:space="preserve">HEAVEN WIN — 185,000 slain overnight</t>
  </si>
  <si>
    <t xml:space="preserve">185,000 soldiers</t>
  </si>
  <si>
    <t xml:space="preserve">2 Kings 19:35</t>
  </si>
  <si>
    <t xml:space="preserve">185,000</t>
  </si>
  <si>
    <t xml:space="preserve">c.30 AD</t>
  </si>
  <si>
    <t xml:space="preserve">Temptation of Christ</t>
  </si>
  <si>
    <t xml:space="preserve">Jesus + Angels (standby)</t>
  </si>
  <si>
    <t xml:space="preserve">Satan (direct)</t>
  </si>
  <si>
    <t xml:space="preserve">Wilderness, Temple</t>
  </si>
  <si>
    <t xml:space="preserve">HEAVEN WIN — Satan repelled 3x</t>
  </si>
  <si>
    <t xml:space="preserve">Matthew 4:1-11</t>
  </si>
  <si>
    <t xml:space="preserve">0 (tactical retreat)</t>
  </si>
  <si>
    <t xml:space="preserve">Harrowing of Hell</t>
  </si>
  <si>
    <t xml:space="preserve">Christ Descends</t>
  </si>
  <si>
    <t xml:space="preserve">Hell's gates and guards</t>
  </si>
  <si>
    <t xml:space="preserve">Sheol/Hell</t>
  </si>
  <si>
    <t xml:space="preserve">HEAVEN WIN — Righteous freed</t>
  </si>
  <si>
    <t xml:space="preserve">Old Testament righteous dead</t>
  </si>
  <si>
    <t xml:space="preserve">1 Peter 3:18-20; Apostle's Creed</t>
  </si>
  <si>
    <t xml:space="preserve">Hell's gates destroyed</t>
  </si>
  <si>
    <t xml:space="preserve">TBD</t>
  </si>
  <si>
    <t xml:space="preserve">Battle of Armageddon</t>
  </si>
  <si>
    <t xml:space="preserve">Michael, Heavenly Host, Christ</t>
  </si>
  <si>
    <t xml:space="preserve">Beast, False Prophet, Demonic Legions</t>
  </si>
  <si>
    <t xml:space="preserve">Megiddo Plains</t>
  </si>
  <si>
    <t xml:space="preserve">PROJECTED: HEAVEN WIN</t>
  </si>
  <si>
    <t xml:space="preserve">All remaining souls</t>
  </si>
  <si>
    <t xml:space="preserve">Revelation 16:16, 19:11-21</t>
  </si>
  <si>
    <t xml:space="preserve">All — cast in lake of fire</t>
  </si>
  <si>
    <t xml:space="preserve">Final Judgment</t>
  </si>
  <si>
    <t xml:space="preserve">Christ, Angels, Saints</t>
  </si>
  <si>
    <t xml:space="preserve">Satan loosed; all demons</t>
  </si>
  <si>
    <t xml:space="preserve">New Heaven/Earth</t>
  </si>
  <si>
    <t xml:space="preserve">HEAVEN FINAL WIN — New Creation</t>
  </si>
  <si>
    <t xml:space="preserve">All souls ever</t>
  </si>
  <si>
    <t xml:space="preserve">Revelation 20:7-15</t>
  </si>
  <si>
    <t xml:space="preserve">Satan, Death, Hell permanently</t>
  </si>
  <si>
    <t xml:space="preserve">SIN / VIRTUE TAXONOMY — COMPLETE CORRESPONDENCE MATRIX</t>
  </si>
  <si>
    <t xml:space="preserve">Deadly Sin</t>
  </si>
  <si>
    <t xml:space="preserve">Opposing Virtue</t>
  </si>
  <si>
    <t xml:space="preserve">Demonic Regent</t>
  </si>
  <si>
    <t xml:space="preserve">Angelic Counterpart</t>
  </si>
  <si>
    <t xml:space="preserve">Dante's Circle</t>
  </si>
  <si>
    <t xml:space="preserve">Color Association</t>
  </si>
  <si>
    <t xml:space="preserve">Element</t>
  </si>
  <si>
    <t xml:space="preserve">Planet (Medieval)</t>
  </si>
  <si>
    <t xml:space="preserve">Deadly Sin
Index (1–7)</t>
  </si>
  <si>
    <t xml:space="preserve">Human Susceptibility
% (est.)</t>
  </si>
  <si>
    <t xml:space="preserve">Humility</t>
  </si>
  <si>
    <t xml:space="preserve">Lucifer</t>
  </si>
  <si>
    <t xml:space="preserve">Metatron / Michael</t>
  </si>
  <si>
    <t xml:space="preserve">Violet</t>
  </si>
  <si>
    <t xml:space="preserve">Fire</t>
  </si>
  <si>
    <t xml:space="preserve">Sun</t>
  </si>
  <si>
    <t xml:space="preserve">Kindness</t>
  </si>
  <si>
    <t xml:space="preserve">Green</t>
  </si>
  <si>
    <t xml:space="preserve">Water</t>
  </si>
  <si>
    <t xml:space="preserve">Moon</t>
  </si>
  <si>
    <t xml:space="preserve">Patience</t>
  </si>
  <si>
    <t xml:space="preserve">Red</t>
  </si>
  <si>
    <t xml:space="preserve">Mars</t>
  </si>
  <si>
    <t xml:space="preserve">Diligence</t>
  </si>
  <si>
    <t xml:space="preserve">Blue</t>
  </si>
  <si>
    <t xml:space="preserve">Earth</t>
  </si>
  <si>
    <t xml:space="preserve">Mercury</t>
  </si>
  <si>
    <t xml:space="preserve">Charity</t>
  </si>
  <si>
    <t xml:space="preserve">Yellow</t>
  </si>
  <si>
    <t xml:space="preserve">Jupiter</t>
  </si>
  <si>
    <t xml:space="preserve">Temperance</t>
  </si>
  <si>
    <t xml:space="preserve">Orange</t>
  </si>
  <si>
    <t xml:space="preserve">Venus</t>
  </si>
  <si>
    <t xml:space="preserve">Chastity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</si>
</sst>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#,##0.0"/>
    <numFmt numFmtId="168" formatCode="0.0%"/>
    <numFmt numFmtId="169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D7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28"/>
      <color rgb="FF000080"/>
      <name val="Arial"/>
      <family val="0"/>
      <charset val="1"/>
    </font>
    <font>
      <b val="true"/>
      <sz val="28"/>
      <color rgb="FF8B0000"/>
      <name val="Arial"/>
      <family val="0"/>
      <charset val="1"/>
    </font>
    <font>
      <b val="true"/>
      <sz val="28"/>
      <color rgb="FFB8860B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6"/>
      <color rgb="FF000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FF444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8F4FD"/>
        <bgColor rgb="FFE3F2FD"/>
      </patternFill>
    </fill>
    <fill>
      <patternFill patternType="solid">
        <fgColor rgb="FFFFE4E1"/>
        <bgColor rgb="FFFFE0E0"/>
      </patternFill>
    </fill>
    <fill>
      <patternFill patternType="solid">
        <fgColor rgb="FFFFFDE7"/>
        <bgColor rgb="FFFFF8E1"/>
      </patternFill>
    </fill>
    <fill>
      <patternFill patternType="solid">
        <fgColor rgb="FF2C3E50"/>
        <bgColor rgb="FF1A4E8A"/>
      </patternFill>
    </fill>
    <fill>
      <patternFill patternType="solid">
        <fgColor rgb="FFF2F2F2"/>
        <bgColor rgb="FFEEF5FF"/>
      </patternFill>
    </fill>
    <fill>
      <patternFill patternType="solid">
        <fgColor rgb="FFEEF5FF"/>
        <bgColor rgb="FFE8F4FD"/>
      </patternFill>
    </fill>
    <fill>
      <patternFill patternType="solid">
        <fgColor rgb="FFFFF8E1"/>
        <bgColor rgb="FFFFF3E0"/>
      </patternFill>
    </fill>
    <fill>
      <patternFill patternType="solid">
        <fgColor rgb="FF1A4E8A"/>
        <bgColor rgb="FF2C3E50"/>
      </patternFill>
    </fill>
    <fill>
      <patternFill patternType="solid">
        <fgColor rgb="FFD6EAF8"/>
        <bgColor rgb="FFE3F2FD"/>
      </patternFill>
    </fill>
    <fill>
      <patternFill patternType="solid">
        <fgColor rgb="FFFFD700"/>
        <bgColor rgb="FFFF9900"/>
      </patternFill>
    </fill>
    <fill>
      <patternFill patternType="solid">
        <fgColor rgb="FF2C0000"/>
        <bgColor rgb="FF000000"/>
      </patternFill>
    </fill>
    <fill>
      <patternFill patternType="solid">
        <fgColor rgb="FF8B0000"/>
        <bgColor rgb="FF800000"/>
      </patternFill>
    </fill>
    <fill>
      <patternFill patternType="solid">
        <fgColor rgb="FFFFF0F0"/>
        <bgColor rgb="FFFFEBEE"/>
      </patternFill>
    </fill>
    <fill>
      <patternFill patternType="solid">
        <fgColor rgb="FFFFE0E0"/>
        <bgColor rgb="FFFFE4E1"/>
      </patternFill>
    </fill>
    <fill>
      <patternFill patternType="solid">
        <fgColor rgb="FFFF4444"/>
        <bgColor rgb="FFFF0000"/>
      </patternFill>
    </fill>
    <fill>
      <patternFill patternType="solid">
        <fgColor rgb="FFE8F8E8"/>
        <bgColor rgb="FFE8F5E9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8F8E8"/>
      </patternFill>
    </fill>
    <fill>
      <patternFill patternType="solid">
        <fgColor rgb="FFFFEBEE"/>
        <bgColor rgb="FFFFF0F0"/>
      </patternFill>
    </fill>
    <fill>
      <patternFill patternType="solid">
        <fgColor rgb="FFE3F2FD"/>
        <bgColor rgb="FFE8F4FD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E4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B0000"/>
      <rgbColor rgb="FF008000"/>
      <rgbColor rgb="FF000080"/>
      <rgbColor rgb="FFB8860B"/>
      <rgbColor rgb="FF800080"/>
      <rgbColor rgb="FF008080"/>
      <rgbColor rgb="FFFCE4EC"/>
      <rgbColor rgb="FF888888"/>
      <rgbColor rgb="FFF2F2F2"/>
      <rgbColor rgb="FF993366"/>
      <rgbColor rgb="FFFFF8E1"/>
      <rgbColor rgb="FFE3F2FD"/>
      <rgbColor rgb="FF660066"/>
      <rgbColor rgb="FFFFF0F0"/>
      <rgbColor rgb="FF0066CC"/>
      <rgbColor rgb="FFF3E5F5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D6EAF8"/>
      <rgbColor rgb="FFE8F8E8"/>
      <rgbColor rgb="FFFFF3E0"/>
      <rgbColor rgb="FFE8F4FD"/>
      <rgbColor rgb="FFFFE4E1"/>
      <rgbColor rgb="FFFFEBEE"/>
      <rgbColor rgb="FFFFE0E0"/>
      <rgbColor rgb="FF3366FF"/>
      <rgbColor rgb="FF33CCCC"/>
      <rgbColor rgb="FFEEF5FF"/>
      <rgbColor rgb="FFFFD700"/>
      <rgbColor rgb="FFFF9900"/>
      <rgbColor rgb="FFFF4444"/>
      <rgbColor rgb="FF595959"/>
      <rgbColor rgb="FFAAAAAA"/>
      <rgbColor rgb="FF16213E"/>
      <rgbColor rgb="FF339966"/>
      <rgbColor rgb="FF2C0000"/>
      <rgbColor rgb="FF1A1A2E"/>
      <rgbColor rgb="FF993300"/>
      <rgbColor rgb="FF993366"/>
      <rgbColor rgb="FF1A4E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9.5" hidden="false" customHeight="true" outlineLevel="0" collapsed="false">
      <c r="A4" s="3" t="n">
        <f aca="false">COUNTA('👼 Angels'!B4:B120)</f>
        <v>30</v>
      </c>
      <c r="B4" s="3"/>
      <c r="C4" s="3"/>
      <c r="D4" s="3"/>
      <c r="E4" s="4" t="n">
        <f aca="false">COUNTA('😈 Demons'!B4:B120)</f>
        <v>30</v>
      </c>
      <c r="F4" s="4"/>
      <c r="G4" s="4"/>
      <c r="H4" s="4"/>
      <c r="I4" s="5" t="n">
        <f aca="false">(SUMIF('👼 Angels'!K4:K120,"&gt;0",'👼 Angels'!K4:K120)-SUMIF('😈 Demons'!J4:J120,"&gt;0",'😈 Demons'!J4:J120))</f>
        <v>93</v>
      </c>
      <c r="J4" s="5"/>
      <c r="K4" s="5"/>
      <c r="L4" s="5"/>
    </row>
    <row r="5" customFormat="false" ht="30" hidden="false" customHeight="true" outlineLevel="0" collapsed="false">
      <c r="A5" s="6" t="s">
        <v>2</v>
      </c>
      <c r="B5" s="6"/>
      <c r="C5" s="6"/>
      <c r="D5" s="6"/>
      <c r="E5" s="7" t="s">
        <v>3</v>
      </c>
      <c r="F5" s="7"/>
      <c r="G5" s="7"/>
      <c r="H5" s="7"/>
      <c r="I5" s="8" t="s">
        <v>4</v>
      </c>
      <c r="J5" s="8"/>
      <c r="K5" s="8"/>
      <c r="L5" s="8"/>
    </row>
    <row r="7" customFormat="false" ht="15" hidden="false" customHeight="false" outlineLevel="0" collapsed="false">
      <c r="A7" s="9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customFormat="false" ht="19.5" hidden="false" customHeight="true" outlineLevel="0" collapsed="false">
      <c r="A8" s="10" t="s">
        <v>6</v>
      </c>
      <c r="B8" s="10"/>
      <c r="C8" s="10"/>
      <c r="D8" s="10"/>
      <c r="E8" s="10"/>
      <c r="F8" s="10"/>
      <c r="G8" s="10"/>
      <c r="H8" s="10"/>
      <c r="I8" s="11" t="n">
        <v>1.15</v>
      </c>
      <c r="J8" s="11"/>
      <c r="K8" s="11"/>
      <c r="L8" s="11"/>
    </row>
    <row r="9" customFormat="false" ht="19.5" hidden="false" customHeight="true" outlineLevel="0" collapsed="false">
      <c r="A9" s="10" t="s">
        <v>7</v>
      </c>
      <c r="B9" s="10"/>
      <c r="C9" s="10"/>
      <c r="D9" s="10"/>
      <c r="E9" s="10"/>
      <c r="F9" s="10"/>
      <c r="G9" s="10"/>
      <c r="H9" s="10"/>
      <c r="I9" s="11" t="n">
        <v>0.03</v>
      </c>
      <c r="J9" s="11"/>
      <c r="K9" s="11"/>
      <c r="L9" s="11"/>
    </row>
    <row r="10" customFormat="false" ht="19.5" hidden="false" customHeight="true" outlineLevel="0" collapsed="false">
      <c r="A10" s="10" t="s">
        <v>8</v>
      </c>
      <c r="B10" s="10"/>
      <c r="C10" s="10"/>
      <c r="D10" s="10"/>
      <c r="E10" s="10"/>
      <c r="F10" s="10"/>
      <c r="G10" s="10"/>
      <c r="H10" s="10"/>
      <c r="I10" s="11" t="n">
        <v>1200000</v>
      </c>
      <c r="J10" s="11"/>
      <c r="K10" s="11"/>
      <c r="L10" s="11"/>
    </row>
    <row r="11" customFormat="false" ht="19.5" hidden="false" customHeight="true" outlineLevel="0" collapsed="false">
      <c r="A11" s="10" t="s">
        <v>9</v>
      </c>
      <c r="B11" s="10"/>
      <c r="C11" s="10"/>
      <c r="D11" s="10"/>
      <c r="E11" s="10"/>
      <c r="F11" s="10"/>
      <c r="G11" s="10"/>
      <c r="H11" s="10"/>
      <c r="I11" s="11" t="n">
        <v>850000</v>
      </c>
      <c r="J11" s="11"/>
      <c r="K11" s="11"/>
      <c r="L11" s="11"/>
    </row>
    <row r="12" customFormat="false" ht="19.5" hidden="false" customHeight="true" outlineLevel="0" collapsed="false">
      <c r="A12" s="10" t="s">
        <v>10</v>
      </c>
      <c r="B12" s="10"/>
      <c r="C12" s="10"/>
      <c r="D12" s="10"/>
      <c r="E12" s="10"/>
      <c r="F12" s="10"/>
      <c r="G12" s="10"/>
      <c r="H12" s="10"/>
      <c r="I12" s="11" t="n">
        <v>350000</v>
      </c>
      <c r="J12" s="11"/>
      <c r="K12" s="11"/>
      <c r="L12" s="11"/>
    </row>
    <row r="13" customFormat="false" ht="19.5" hidden="false" customHeight="true" outlineLevel="0" collapsed="false">
      <c r="A13" s="10" t="s">
        <v>11</v>
      </c>
      <c r="B13" s="10"/>
      <c r="C13" s="10"/>
      <c r="D13" s="10"/>
      <c r="E13" s="10"/>
      <c r="F13" s="10"/>
      <c r="G13" s="10"/>
      <c r="H13" s="10"/>
      <c r="I13" s="11" t="n">
        <v>144000</v>
      </c>
      <c r="J13" s="11"/>
      <c r="K13" s="11"/>
      <c r="L13" s="11"/>
    </row>
    <row r="14" customFormat="false" ht="19.5" hidden="false" customHeight="true" outlineLevel="0" collapsed="false">
      <c r="A14" s="10" t="s">
        <v>12</v>
      </c>
      <c r="B14" s="10"/>
      <c r="C14" s="10"/>
      <c r="D14" s="10"/>
      <c r="E14" s="10"/>
      <c r="F14" s="10"/>
      <c r="G14" s="10"/>
      <c r="H14" s="10"/>
      <c r="I14" s="11" t="n">
        <v>7</v>
      </c>
      <c r="J14" s="11"/>
      <c r="K14" s="11"/>
      <c r="L14" s="11"/>
    </row>
    <row r="15" customFormat="false" ht="19.5" hidden="false" customHeight="true" outlineLevel="0" collapsed="false">
      <c r="A15" s="10" t="s">
        <v>13</v>
      </c>
      <c r="B15" s="10"/>
      <c r="C15" s="10"/>
      <c r="D15" s="10"/>
      <c r="E15" s="10"/>
      <c r="F15" s="10"/>
      <c r="G15" s="10"/>
      <c r="H15" s="10"/>
      <c r="I15" s="11" t="n">
        <v>1</v>
      </c>
      <c r="J15" s="11"/>
      <c r="K15" s="11"/>
      <c r="L15" s="11"/>
    </row>
    <row r="18" customFormat="false" ht="15" hidden="false" customHeight="false" outlineLevel="0" collapsed="false">
      <c r="A18" s="9" t="s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9.5" hidden="false" customHeight="true" outlineLevel="0" collapsed="false">
      <c r="A19" s="10" t="s">
        <v>15</v>
      </c>
      <c r="B19" s="10"/>
      <c r="C19" s="10"/>
      <c r="D19" s="10"/>
      <c r="E19" s="10"/>
      <c r="F19" s="10"/>
      <c r="G19" s="10"/>
      <c r="H19" s="10"/>
      <c r="I19" s="12" t="n">
        <f aca="false">I11</f>
        <v>850000</v>
      </c>
      <c r="J19" s="12"/>
      <c r="K19" s="12"/>
      <c r="L19" s="12"/>
    </row>
    <row r="20" customFormat="false" ht="19.5" hidden="false" customHeight="true" outlineLevel="0" collapsed="false">
      <c r="A20" s="10" t="s">
        <v>16</v>
      </c>
      <c r="B20" s="10"/>
      <c r="C20" s="10"/>
      <c r="D20" s="10"/>
      <c r="E20" s="10"/>
      <c r="F20" s="10"/>
      <c r="G20" s="10"/>
      <c r="H20" s="10"/>
      <c r="I20" s="13" t="n">
        <f aca="false">I12</f>
        <v>350000</v>
      </c>
      <c r="J20" s="13"/>
      <c r="K20" s="13"/>
      <c r="L20" s="13"/>
    </row>
    <row r="21" customFormat="false" ht="19.5" hidden="false" customHeight="true" outlineLevel="0" collapsed="false">
      <c r="A21" s="10" t="s">
        <v>17</v>
      </c>
      <c r="B21" s="10"/>
      <c r="C21" s="10"/>
      <c r="D21" s="10"/>
      <c r="E21" s="10"/>
      <c r="F21" s="10"/>
      <c r="G21" s="10"/>
      <c r="H21" s="10"/>
      <c r="I21" s="14" t="n">
        <f aca="false">I13</f>
        <v>144000</v>
      </c>
      <c r="J21" s="14"/>
      <c r="K21" s="14"/>
      <c r="L21" s="14"/>
    </row>
    <row r="22" customFormat="false" ht="19.5" hidden="false" customHeight="true" outlineLevel="0" collapsed="false">
      <c r="A22" s="10" t="s">
        <v>18</v>
      </c>
      <c r="B22" s="10"/>
      <c r="C22" s="10"/>
      <c r="D22" s="10"/>
      <c r="E22" s="10"/>
      <c r="F22" s="10"/>
      <c r="G22" s="10"/>
      <c r="H22" s="10"/>
      <c r="I22" s="12" t="n">
        <f aca="false">I11-I12</f>
        <v>500000</v>
      </c>
      <c r="J22" s="12"/>
      <c r="K22" s="12"/>
      <c r="L22" s="12"/>
    </row>
    <row r="23" customFormat="false" ht="19.5" hidden="false" customHeight="true" outlineLevel="0" collapsed="false">
      <c r="A23" s="10" t="s">
        <v>19</v>
      </c>
      <c r="B23" s="10"/>
      <c r="C23" s="10"/>
      <c r="D23" s="10"/>
      <c r="E23" s="10"/>
      <c r="F23" s="10"/>
      <c r="G23" s="10"/>
      <c r="H23" s="10"/>
      <c r="I23" s="12" t="n">
        <f aca="false">(I11-I12)*365</f>
        <v>182500000</v>
      </c>
      <c r="J23" s="12"/>
      <c r="K23" s="12"/>
      <c r="L23" s="12"/>
    </row>
  </sheetData>
  <mergeCells count="36">
    <mergeCell ref="A1:L1"/>
    <mergeCell ref="A2:L2"/>
    <mergeCell ref="A4:D4"/>
    <mergeCell ref="E4:H4"/>
    <mergeCell ref="I4:L4"/>
    <mergeCell ref="A5:D5"/>
    <mergeCell ref="E5:H5"/>
    <mergeCell ref="I5:L5"/>
    <mergeCell ref="A7:L7"/>
    <mergeCell ref="A8:H8"/>
    <mergeCell ref="I8:L8"/>
    <mergeCell ref="A9:H9"/>
    <mergeCell ref="I9:L9"/>
    <mergeCell ref="A10:H10"/>
    <mergeCell ref="I10:L10"/>
    <mergeCell ref="A11:H11"/>
    <mergeCell ref="I11:L11"/>
    <mergeCell ref="A12:H12"/>
    <mergeCell ref="I12:L12"/>
    <mergeCell ref="A13:H13"/>
    <mergeCell ref="I13:L13"/>
    <mergeCell ref="A14:H14"/>
    <mergeCell ref="I14:L14"/>
    <mergeCell ref="A15:H15"/>
    <mergeCell ref="I15:L15"/>
    <mergeCell ref="A18:L18"/>
    <mergeCell ref="A19:H19"/>
    <mergeCell ref="I19:L19"/>
    <mergeCell ref="A20:H20"/>
    <mergeCell ref="I20:L20"/>
    <mergeCell ref="A21:H21"/>
    <mergeCell ref="I21:L21"/>
    <mergeCell ref="A22:H22"/>
    <mergeCell ref="I22:L22"/>
    <mergeCell ref="A23:H23"/>
    <mergeCell ref="I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8" min="7" style="0" width="8"/>
    <col collapsed="false" customWidth="true" hidden="false" outlineLevel="0" max="9" min="9" style="0" width="20"/>
    <col collapsed="false" customWidth="true" hidden="false" outlineLevel="0" max="10" min="10" style="0" width="28"/>
    <col collapsed="false" customWidth="true" hidden="false" outlineLevel="0" max="13" min="11" style="0" width="10"/>
    <col collapsed="false" customWidth="true" hidden="false" outlineLevel="0" max="14" min="14" style="0" width="32"/>
  </cols>
  <sheetData>
    <row r="1" customFormat="false" ht="34.5" hidden="false" customHeight="true" outlineLevel="0" collapsed="false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7.5" hidden="false" customHeight="true" outlineLevel="0" collapsed="false"/>
    <row r="3" customFormat="false" ht="39.7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16" t="s">
        <v>30</v>
      </c>
      <c r="K3" s="16" t="s">
        <v>31</v>
      </c>
      <c r="L3" s="16" t="s">
        <v>32</v>
      </c>
      <c r="M3" s="16" t="s">
        <v>33</v>
      </c>
      <c r="N3" s="16" t="s">
        <v>34</v>
      </c>
    </row>
    <row r="4" customFormat="false" ht="19.5" hidden="false" customHeight="true" outlineLevel="0" collapsed="false">
      <c r="A4" s="17" t="n">
        <v>1</v>
      </c>
      <c r="B4" s="18" t="s">
        <v>35</v>
      </c>
      <c r="C4" s="18" t="s">
        <v>36</v>
      </c>
      <c r="D4" s="17" t="n">
        <v>1</v>
      </c>
      <c r="E4" s="18" t="s">
        <v>37</v>
      </c>
      <c r="F4" s="18" t="s">
        <v>38</v>
      </c>
      <c r="G4" s="19" t="n">
        <v>6</v>
      </c>
      <c r="H4" s="17" t="s">
        <v>39</v>
      </c>
      <c r="I4" s="18" t="s">
        <v>40</v>
      </c>
      <c r="J4" s="18" t="s">
        <v>41</v>
      </c>
      <c r="K4" s="19" t="n">
        <v>100</v>
      </c>
      <c r="L4" s="19" t="n">
        <v>10</v>
      </c>
      <c r="M4" s="20" t="n">
        <f aca="false">K4*(L4/10)</f>
        <v>100</v>
      </c>
      <c r="N4" s="18" t="s">
        <v>42</v>
      </c>
    </row>
    <row r="5" customFormat="false" ht="19.5" hidden="false" customHeight="true" outlineLevel="0" collapsed="false">
      <c r="A5" s="21" t="n">
        <v>2</v>
      </c>
      <c r="B5" s="22" t="s">
        <v>43</v>
      </c>
      <c r="C5" s="22" t="s">
        <v>36</v>
      </c>
      <c r="D5" s="21" t="n">
        <v>1</v>
      </c>
      <c r="E5" s="22" t="s">
        <v>44</v>
      </c>
      <c r="F5" s="22" t="s">
        <v>45</v>
      </c>
      <c r="G5" s="23" t="n">
        <v>6</v>
      </c>
      <c r="H5" s="21" t="s">
        <v>39</v>
      </c>
      <c r="I5" s="22" t="s">
        <v>46</v>
      </c>
      <c r="J5" s="22" t="s">
        <v>47</v>
      </c>
      <c r="K5" s="23" t="n">
        <v>98</v>
      </c>
      <c r="L5" s="23" t="n">
        <v>10</v>
      </c>
      <c r="M5" s="24" t="n">
        <f aca="false">K5*(L5/10)</f>
        <v>98</v>
      </c>
      <c r="N5" s="22" t="s">
        <v>48</v>
      </c>
    </row>
    <row r="6" customFormat="false" ht="19.5" hidden="false" customHeight="true" outlineLevel="0" collapsed="false">
      <c r="A6" s="17" t="n">
        <v>3</v>
      </c>
      <c r="B6" s="18" t="s">
        <v>49</v>
      </c>
      <c r="C6" s="18" t="s">
        <v>50</v>
      </c>
      <c r="D6" s="17" t="n">
        <v>1</v>
      </c>
      <c r="E6" s="18" t="s">
        <v>51</v>
      </c>
      <c r="F6" s="18" t="s">
        <v>52</v>
      </c>
      <c r="G6" s="19" t="n">
        <v>4</v>
      </c>
      <c r="H6" s="17" t="s">
        <v>53</v>
      </c>
      <c r="I6" s="18" t="s">
        <v>54</v>
      </c>
      <c r="J6" s="18" t="s">
        <v>55</v>
      </c>
      <c r="K6" s="19" t="n">
        <v>95</v>
      </c>
      <c r="L6" s="19" t="n">
        <v>10</v>
      </c>
      <c r="M6" s="20" t="n">
        <f aca="false">K6*(L6/10)</f>
        <v>95</v>
      </c>
      <c r="N6" s="18" t="s">
        <v>56</v>
      </c>
    </row>
    <row r="7" customFormat="false" ht="19.5" hidden="false" customHeight="true" outlineLevel="0" collapsed="false">
      <c r="A7" s="21" t="n">
        <v>4</v>
      </c>
      <c r="B7" s="22" t="s">
        <v>57</v>
      </c>
      <c r="C7" s="22" t="s">
        <v>50</v>
      </c>
      <c r="D7" s="21" t="n">
        <v>1</v>
      </c>
      <c r="E7" s="22" t="s">
        <v>58</v>
      </c>
      <c r="F7" s="22" t="s">
        <v>59</v>
      </c>
      <c r="G7" s="23" t="n">
        <v>4</v>
      </c>
      <c r="H7" s="21" t="s">
        <v>39</v>
      </c>
      <c r="I7" s="22" t="s">
        <v>60</v>
      </c>
      <c r="J7" s="22" t="s">
        <v>61</v>
      </c>
      <c r="K7" s="23" t="n">
        <v>93</v>
      </c>
      <c r="L7" s="23" t="n">
        <v>10</v>
      </c>
      <c r="M7" s="24" t="n">
        <f aca="false">K7*(L7/10)</f>
        <v>93</v>
      </c>
      <c r="N7" s="22" t="s">
        <v>62</v>
      </c>
    </row>
    <row r="8" customFormat="false" ht="19.5" hidden="false" customHeight="true" outlineLevel="0" collapsed="false">
      <c r="A8" s="17" t="n">
        <v>5</v>
      </c>
      <c r="B8" s="18" t="s">
        <v>63</v>
      </c>
      <c r="C8" s="18" t="s">
        <v>50</v>
      </c>
      <c r="D8" s="17" t="n">
        <v>1</v>
      </c>
      <c r="E8" s="18" t="s">
        <v>64</v>
      </c>
      <c r="F8" s="18" t="s">
        <v>65</v>
      </c>
      <c r="G8" s="19" t="n">
        <v>4</v>
      </c>
      <c r="H8" s="17" t="s">
        <v>53</v>
      </c>
      <c r="I8" s="18" t="s">
        <v>66</v>
      </c>
      <c r="J8" s="18" t="s">
        <v>67</v>
      </c>
      <c r="K8" s="19" t="n">
        <v>88</v>
      </c>
      <c r="L8" s="19" t="n">
        <v>9</v>
      </c>
      <c r="M8" s="20" t="n">
        <f aca="false">K8*(L8/10)</f>
        <v>79.2</v>
      </c>
      <c r="N8" s="18" t="s">
        <v>68</v>
      </c>
    </row>
    <row r="9" customFormat="false" ht="19.5" hidden="false" customHeight="true" outlineLevel="0" collapsed="false">
      <c r="A9" s="21" t="n">
        <v>6</v>
      </c>
      <c r="B9" s="22" t="s">
        <v>69</v>
      </c>
      <c r="C9" s="22" t="s">
        <v>70</v>
      </c>
      <c r="D9" s="21" t="n">
        <v>2</v>
      </c>
      <c r="E9" s="22" t="s">
        <v>71</v>
      </c>
      <c r="F9" s="22" t="s">
        <v>65</v>
      </c>
      <c r="G9" s="23" t="n">
        <v>2</v>
      </c>
      <c r="H9" s="21" t="s">
        <v>53</v>
      </c>
      <c r="I9" s="22" t="s">
        <v>72</v>
      </c>
      <c r="J9" s="22" t="s">
        <v>73</v>
      </c>
      <c r="K9" s="23" t="n">
        <v>85</v>
      </c>
      <c r="L9" s="23" t="n">
        <v>9</v>
      </c>
      <c r="M9" s="24" t="n">
        <f aca="false">K9*(L9/10)</f>
        <v>76.5</v>
      </c>
      <c r="N9" s="22" t="s">
        <v>74</v>
      </c>
    </row>
    <row r="10" customFormat="false" ht="19.5" hidden="false" customHeight="true" outlineLevel="0" collapsed="false">
      <c r="A10" s="17" t="n">
        <v>7</v>
      </c>
      <c r="B10" s="18" t="s">
        <v>75</v>
      </c>
      <c r="C10" s="18" t="s">
        <v>70</v>
      </c>
      <c r="D10" s="17" t="n">
        <v>2</v>
      </c>
      <c r="E10" s="18" t="s">
        <v>76</v>
      </c>
      <c r="F10" s="18" t="s">
        <v>65</v>
      </c>
      <c r="G10" s="19" t="n">
        <v>2</v>
      </c>
      <c r="H10" s="17" t="s">
        <v>53</v>
      </c>
      <c r="I10" s="18" t="s">
        <v>77</v>
      </c>
      <c r="J10" s="18" t="s">
        <v>78</v>
      </c>
      <c r="K10" s="19" t="n">
        <v>84</v>
      </c>
      <c r="L10" s="19" t="n">
        <v>9</v>
      </c>
      <c r="M10" s="20" t="n">
        <f aca="false">K10*(L10/10)</f>
        <v>75.6</v>
      </c>
      <c r="N10" s="18" t="s">
        <v>79</v>
      </c>
    </row>
    <row r="11" customFormat="false" ht="19.5" hidden="false" customHeight="true" outlineLevel="0" collapsed="false">
      <c r="A11" s="21" t="n">
        <v>8</v>
      </c>
      <c r="B11" s="22" t="s">
        <v>80</v>
      </c>
      <c r="C11" s="22" t="s">
        <v>81</v>
      </c>
      <c r="D11" s="21" t="n">
        <v>2</v>
      </c>
      <c r="E11" s="22" t="s">
        <v>82</v>
      </c>
      <c r="F11" s="22" t="s">
        <v>83</v>
      </c>
      <c r="G11" s="23" t="n">
        <v>4</v>
      </c>
      <c r="H11" s="21" t="s">
        <v>53</v>
      </c>
      <c r="I11" s="22" t="s">
        <v>84</v>
      </c>
      <c r="J11" s="22" t="s">
        <v>85</v>
      </c>
      <c r="K11" s="23" t="n">
        <v>80</v>
      </c>
      <c r="L11" s="23" t="n">
        <v>9</v>
      </c>
      <c r="M11" s="24" t="n">
        <f aca="false">K11*(L11/10)</f>
        <v>72</v>
      </c>
      <c r="N11" s="22" t="s">
        <v>86</v>
      </c>
    </row>
    <row r="12" customFormat="false" ht="19.5" hidden="false" customHeight="true" outlineLevel="0" collapsed="false">
      <c r="A12" s="17" t="n">
        <v>9</v>
      </c>
      <c r="B12" s="18" t="s">
        <v>87</v>
      </c>
      <c r="C12" s="18" t="s">
        <v>50</v>
      </c>
      <c r="D12" s="17" t="n">
        <v>1</v>
      </c>
      <c r="E12" s="18" t="s">
        <v>88</v>
      </c>
      <c r="F12" s="18" t="s">
        <v>89</v>
      </c>
      <c r="G12" s="19" t="n">
        <v>4</v>
      </c>
      <c r="H12" s="17" t="s">
        <v>39</v>
      </c>
      <c r="I12" s="18" t="s">
        <v>90</v>
      </c>
      <c r="J12" s="18" t="s">
        <v>91</v>
      </c>
      <c r="K12" s="19" t="n">
        <v>82</v>
      </c>
      <c r="L12" s="19" t="n">
        <v>9</v>
      </c>
      <c r="M12" s="20" t="n">
        <f aca="false">K12*(L12/10)</f>
        <v>73.8</v>
      </c>
      <c r="N12" s="18" t="s">
        <v>92</v>
      </c>
    </row>
    <row r="13" customFormat="false" ht="19.5" hidden="false" customHeight="true" outlineLevel="0" collapsed="false">
      <c r="A13" s="21" t="n">
        <v>10</v>
      </c>
      <c r="B13" s="22" t="s">
        <v>93</v>
      </c>
      <c r="C13" s="22" t="s">
        <v>94</v>
      </c>
      <c r="D13" s="21" t="n">
        <v>3</v>
      </c>
      <c r="E13" s="22" t="s">
        <v>95</v>
      </c>
      <c r="F13" s="22" t="s">
        <v>96</v>
      </c>
      <c r="G13" s="23" t="n">
        <v>2</v>
      </c>
      <c r="H13" s="21" t="s">
        <v>53</v>
      </c>
      <c r="I13" s="22" t="s">
        <v>97</v>
      </c>
      <c r="J13" s="22" t="s">
        <v>98</v>
      </c>
      <c r="K13" s="23" t="n">
        <v>90</v>
      </c>
      <c r="L13" s="23" t="n">
        <v>9</v>
      </c>
      <c r="M13" s="24" t="n">
        <f aca="false">K13*(L13/10)</f>
        <v>81</v>
      </c>
      <c r="N13" s="22" t="s">
        <v>99</v>
      </c>
    </row>
    <row r="14" customFormat="false" ht="19.5" hidden="false" customHeight="true" outlineLevel="0" collapsed="false">
      <c r="A14" s="17" t="n">
        <v>11</v>
      </c>
      <c r="B14" s="18" t="s">
        <v>100</v>
      </c>
      <c r="C14" s="18" t="s">
        <v>36</v>
      </c>
      <c r="D14" s="17" t="n">
        <v>1</v>
      </c>
      <c r="E14" s="18" t="s">
        <v>101</v>
      </c>
      <c r="F14" s="18" t="s">
        <v>102</v>
      </c>
      <c r="G14" s="19" t="n">
        <v>6</v>
      </c>
      <c r="H14" s="17" t="s">
        <v>39</v>
      </c>
      <c r="I14" s="18" t="s">
        <v>103</v>
      </c>
      <c r="J14" s="18" t="s">
        <v>104</v>
      </c>
      <c r="K14" s="19" t="n">
        <v>99</v>
      </c>
      <c r="L14" s="19" t="n">
        <v>10</v>
      </c>
      <c r="M14" s="20" t="n">
        <f aca="false">K14*(L14/10)</f>
        <v>99</v>
      </c>
      <c r="N14" s="18" t="s">
        <v>105</v>
      </c>
    </row>
    <row r="15" customFormat="false" ht="19.5" hidden="false" customHeight="true" outlineLevel="0" collapsed="false">
      <c r="A15" s="21" t="n">
        <v>12</v>
      </c>
      <c r="B15" s="22" t="s">
        <v>106</v>
      </c>
      <c r="C15" s="22" t="s">
        <v>36</v>
      </c>
      <c r="D15" s="21" t="n">
        <v>1</v>
      </c>
      <c r="E15" s="22" t="s">
        <v>107</v>
      </c>
      <c r="F15" s="22" t="s">
        <v>108</v>
      </c>
      <c r="G15" s="23" t="n">
        <v>6</v>
      </c>
      <c r="H15" s="21" t="s">
        <v>53</v>
      </c>
      <c r="I15" s="22" t="s">
        <v>109</v>
      </c>
      <c r="J15" s="22" t="s">
        <v>110</v>
      </c>
      <c r="K15" s="23" t="n">
        <v>91</v>
      </c>
      <c r="L15" s="23" t="n">
        <v>10</v>
      </c>
      <c r="M15" s="24" t="n">
        <f aca="false">K15*(L15/10)</f>
        <v>91</v>
      </c>
      <c r="N15" s="22" t="s">
        <v>111</v>
      </c>
    </row>
    <row r="16" customFormat="false" ht="19.5" hidden="false" customHeight="true" outlineLevel="0" collapsed="false">
      <c r="A16" s="17" t="n">
        <v>13</v>
      </c>
      <c r="B16" s="18" t="s">
        <v>112</v>
      </c>
      <c r="C16" s="18" t="s">
        <v>50</v>
      </c>
      <c r="D16" s="17" t="n">
        <v>1</v>
      </c>
      <c r="E16" s="18" t="s">
        <v>113</v>
      </c>
      <c r="F16" s="18" t="s">
        <v>89</v>
      </c>
      <c r="G16" s="19" t="n">
        <v>4</v>
      </c>
      <c r="H16" s="17" t="s">
        <v>39</v>
      </c>
      <c r="I16" s="18" t="s">
        <v>114</v>
      </c>
      <c r="J16" s="18" t="s">
        <v>115</v>
      </c>
      <c r="K16" s="19" t="n">
        <v>89</v>
      </c>
      <c r="L16" s="19" t="n">
        <v>10</v>
      </c>
      <c r="M16" s="20" t="n">
        <f aca="false">K16*(L16/10)</f>
        <v>89</v>
      </c>
      <c r="N16" s="18" t="s">
        <v>116</v>
      </c>
    </row>
    <row r="17" customFormat="false" ht="19.5" hidden="false" customHeight="true" outlineLevel="0" collapsed="false">
      <c r="A17" s="21" t="n">
        <v>14</v>
      </c>
      <c r="B17" s="22" t="s">
        <v>117</v>
      </c>
      <c r="C17" s="22" t="s">
        <v>118</v>
      </c>
      <c r="D17" s="21" t="n">
        <v>2</v>
      </c>
      <c r="E17" s="22" t="s">
        <v>119</v>
      </c>
      <c r="F17" s="22" t="s">
        <v>89</v>
      </c>
      <c r="G17" s="23" t="n">
        <v>4</v>
      </c>
      <c r="H17" s="21" t="s">
        <v>53</v>
      </c>
      <c r="I17" s="22" t="s">
        <v>120</v>
      </c>
      <c r="J17" s="22" t="s">
        <v>121</v>
      </c>
      <c r="K17" s="23" t="n">
        <v>83</v>
      </c>
      <c r="L17" s="23" t="n">
        <v>9</v>
      </c>
      <c r="M17" s="24" t="n">
        <f aca="false">K17*(L17/10)</f>
        <v>74.7</v>
      </c>
      <c r="N17" s="22" t="s">
        <v>122</v>
      </c>
    </row>
    <row r="18" customFormat="false" ht="19.5" hidden="false" customHeight="true" outlineLevel="0" collapsed="false">
      <c r="A18" s="17" t="n">
        <v>15</v>
      </c>
      <c r="B18" s="18" t="s">
        <v>123</v>
      </c>
      <c r="C18" s="18" t="s">
        <v>70</v>
      </c>
      <c r="D18" s="17" t="n">
        <v>2</v>
      </c>
      <c r="E18" s="18" t="s">
        <v>124</v>
      </c>
      <c r="F18" s="18" t="s">
        <v>89</v>
      </c>
      <c r="G18" s="19" t="n">
        <v>2</v>
      </c>
      <c r="H18" s="17" t="s">
        <v>53</v>
      </c>
      <c r="I18" s="18" t="s">
        <v>125</v>
      </c>
      <c r="J18" s="18" t="s">
        <v>126</v>
      </c>
      <c r="K18" s="19" t="n">
        <v>81</v>
      </c>
      <c r="L18" s="19" t="n">
        <v>9</v>
      </c>
      <c r="M18" s="20" t="n">
        <f aca="false">K18*(L18/10)</f>
        <v>72.9</v>
      </c>
      <c r="N18" s="18" t="s">
        <v>127</v>
      </c>
    </row>
    <row r="19" customFormat="false" ht="19.5" hidden="false" customHeight="true" outlineLevel="0" collapsed="false">
      <c r="A19" s="21" t="n">
        <v>16</v>
      </c>
      <c r="B19" s="22" t="s">
        <v>128</v>
      </c>
      <c r="C19" s="22" t="s">
        <v>81</v>
      </c>
      <c r="D19" s="21" t="n">
        <v>2</v>
      </c>
      <c r="E19" s="22" t="s">
        <v>129</v>
      </c>
      <c r="F19" s="22" t="s">
        <v>130</v>
      </c>
      <c r="G19" s="23" t="n">
        <v>2</v>
      </c>
      <c r="H19" s="21" t="s">
        <v>53</v>
      </c>
      <c r="I19" s="22" t="s">
        <v>131</v>
      </c>
      <c r="J19" s="22" t="s">
        <v>132</v>
      </c>
      <c r="K19" s="23" t="n">
        <v>78</v>
      </c>
      <c r="L19" s="23" t="n">
        <v>8</v>
      </c>
      <c r="M19" s="24" t="n">
        <f aca="false">K19*(L19/10)</f>
        <v>62.4</v>
      </c>
      <c r="N19" s="22" t="s">
        <v>133</v>
      </c>
    </row>
    <row r="20" customFormat="false" ht="19.5" hidden="false" customHeight="true" outlineLevel="0" collapsed="false">
      <c r="A20" s="17" t="n">
        <v>17</v>
      </c>
      <c r="B20" s="18" t="s">
        <v>134</v>
      </c>
      <c r="C20" s="18" t="s">
        <v>135</v>
      </c>
      <c r="D20" s="17" t="n">
        <v>2</v>
      </c>
      <c r="E20" s="18" t="s">
        <v>136</v>
      </c>
      <c r="F20" s="18" t="s">
        <v>137</v>
      </c>
      <c r="G20" s="19" t="n">
        <v>2</v>
      </c>
      <c r="H20" s="17" t="s">
        <v>53</v>
      </c>
      <c r="I20" s="18" t="s">
        <v>138</v>
      </c>
      <c r="J20" s="18" t="s">
        <v>139</v>
      </c>
      <c r="K20" s="19" t="n">
        <v>72</v>
      </c>
      <c r="L20" s="19" t="n">
        <v>8</v>
      </c>
      <c r="M20" s="20" t="n">
        <f aca="false">K20*(L20/10)</f>
        <v>57.6</v>
      </c>
      <c r="N20" s="18" t="s">
        <v>140</v>
      </c>
    </row>
    <row r="21" customFormat="false" ht="19.5" hidden="false" customHeight="true" outlineLevel="0" collapsed="false">
      <c r="A21" s="21" t="n">
        <v>18</v>
      </c>
      <c r="B21" s="22" t="s">
        <v>141</v>
      </c>
      <c r="C21" s="22" t="s">
        <v>36</v>
      </c>
      <c r="D21" s="21" t="n">
        <v>1</v>
      </c>
      <c r="E21" s="22" t="s">
        <v>142</v>
      </c>
      <c r="F21" s="22" t="s">
        <v>143</v>
      </c>
      <c r="G21" s="23" t="n">
        <v>6</v>
      </c>
      <c r="H21" s="21" t="s">
        <v>39</v>
      </c>
      <c r="I21" s="22" t="s">
        <v>138</v>
      </c>
      <c r="J21" s="22" t="s">
        <v>144</v>
      </c>
      <c r="K21" s="23" t="n">
        <v>77</v>
      </c>
      <c r="L21" s="23" t="n">
        <v>9</v>
      </c>
      <c r="M21" s="24" t="n">
        <f aca="false">K21*(L21/10)</f>
        <v>69.3</v>
      </c>
      <c r="N21" s="22" t="s">
        <v>145</v>
      </c>
    </row>
    <row r="22" customFormat="false" ht="19.5" hidden="false" customHeight="true" outlineLevel="0" collapsed="false">
      <c r="A22" s="17" t="n">
        <v>19</v>
      </c>
      <c r="B22" s="18" t="s">
        <v>146</v>
      </c>
      <c r="C22" s="18" t="s">
        <v>70</v>
      </c>
      <c r="D22" s="17" t="n">
        <v>2</v>
      </c>
      <c r="E22" s="18" t="s">
        <v>147</v>
      </c>
      <c r="F22" s="18" t="s">
        <v>143</v>
      </c>
      <c r="G22" s="19" t="n">
        <v>2</v>
      </c>
      <c r="H22" s="17" t="s">
        <v>53</v>
      </c>
      <c r="I22" s="18" t="s">
        <v>138</v>
      </c>
      <c r="J22" s="18" t="s">
        <v>148</v>
      </c>
      <c r="K22" s="19" t="n">
        <v>70</v>
      </c>
      <c r="L22" s="19" t="n">
        <v>8</v>
      </c>
      <c r="M22" s="20" t="n">
        <f aca="false">K22*(L22/10)</f>
        <v>56</v>
      </c>
      <c r="N22" s="18" t="s">
        <v>149</v>
      </c>
    </row>
    <row r="23" customFormat="false" ht="19.5" hidden="false" customHeight="true" outlineLevel="0" collapsed="false">
      <c r="A23" s="21" t="n">
        <v>20</v>
      </c>
      <c r="B23" s="22" t="s">
        <v>150</v>
      </c>
      <c r="C23" s="22" t="s">
        <v>135</v>
      </c>
      <c r="D23" s="21" t="n">
        <v>2</v>
      </c>
      <c r="E23" s="22" t="s">
        <v>151</v>
      </c>
      <c r="F23" s="22" t="s">
        <v>152</v>
      </c>
      <c r="G23" s="23" t="n">
        <v>4</v>
      </c>
      <c r="H23" s="21" t="s">
        <v>53</v>
      </c>
      <c r="I23" s="22" t="s">
        <v>153</v>
      </c>
      <c r="J23" s="22" t="s">
        <v>154</v>
      </c>
      <c r="K23" s="23" t="n">
        <v>80</v>
      </c>
      <c r="L23" s="23" t="n">
        <v>9</v>
      </c>
      <c r="M23" s="24" t="n">
        <f aca="false">K23*(L23/10)</f>
        <v>72</v>
      </c>
      <c r="N23" s="22" t="s">
        <v>155</v>
      </c>
    </row>
    <row r="24" customFormat="false" ht="19.5" hidden="false" customHeight="true" outlineLevel="0" collapsed="false">
      <c r="A24" s="17" t="n">
        <v>21</v>
      </c>
      <c r="B24" s="18" t="s">
        <v>156</v>
      </c>
      <c r="C24" s="18" t="s">
        <v>81</v>
      </c>
      <c r="D24" s="17" t="n">
        <v>2</v>
      </c>
      <c r="E24" s="18" t="s">
        <v>157</v>
      </c>
      <c r="F24" s="18" t="s">
        <v>83</v>
      </c>
      <c r="G24" s="19" t="n">
        <v>2</v>
      </c>
      <c r="H24" s="17" t="s">
        <v>39</v>
      </c>
      <c r="I24" s="18" t="s">
        <v>158</v>
      </c>
      <c r="J24" s="18" t="s">
        <v>159</v>
      </c>
      <c r="K24" s="19" t="n">
        <v>76</v>
      </c>
      <c r="L24" s="19" t="n">
        <v>8</v>
      </c>
      <c r="M24" s="20" t="n">
        <f aca="false">K24*(L24/10)</f>
        <v>60.8</v>
      </c>
      <c r="N24" s="18" t="s">
        <v>160</v>
      </c>
    </row>
    <row r="25" customFormat="false" ht="19.5" hidden="false" customHeight="true" outlineLevel="0" collapsed="false">
      <c r="A25" s="21" t="n">
        <v>22</v>
      </c>
      <c r="B25" s="22" t="s">
        <v>161</v>
      </c>
      <c r="C25" s="22" t="s">
        <v>94</v>
      </c>
      <c r="D25" s="21" t="n">
        <v>3</v>
      </c>
      <c r="E25" s="22" t="s">
        <v>162</v>
      </c>
      <c r="F25" s="22" t="s">
        <v>163</v>
      </c>
      <c r="G25" s="23" t="n">
        <v>2</v>
      </c>
      <c r="H25" s="21" t="s">
        <v>53</v>
      </c>
      <c r="I25" s="22" t="s">
        <v>164</v>
      </c>
      <c r="J25" s="22" t="s">
        <v>165</v>
      </c>
      <c r="K25" s="23" t="n">
        <v>74</v>
      </c>
      <c r="L25" s="23" t="n">
        <v>9</v>
      </c>
      <c r="M25" s="24" t="n">
        <f aca="false">K25*(L25/10)</f>
        <v>66.6</v>
      </c>
      <c r="N25" s="22" t="s">
        <v>166</v>
      </c>
    </row>
    <row r="26" customFormat="false" ht="19.5" hidden="false" customHeight="true" outlineLevel="0" collapsed="false">
      <c r="A26" s="17" t="n">
        <v>23</v>
      </c>
      <c r="B26" s="18" t="s">
        <v>167</v>
      </c>
      <c r="C26" s="18" t="s">
        <v>168</v>
      </c>
      <c r="D26" s="17" t="n">
        <v>1</v>
      </c>
      <c r="E26" s="18" t="s">
        <v>169</v>
      </c>
      <c r="F26" s="18" t="s">
        <v>89</v>
      </c>
      <c r="G26" s="19" t="n">
        <v>6</v>
      </c>
      <c r="H26" s="17" t="s">
        <v>39</v>
      </c>
      <c r="I26" s="18" t="s">
        <v>170</v>
      </c>
      <c r="J26" s="18" t="s">
        <v>171</v>
      </c>
      <c r="K26" s="19" t="n">
        <v>86</v>
      </c>
      <c r="L26" s="19" t="n">
        <v>9</v>
      </c>
      <c r="M26" s="20" t="n">
        <f aca="false">K26*(L26/10)</f>
        <v>77.4</v>
      </c>
      <c r="N26" s="18" t="s">
        <v>172</v>
      </c>
    </row>
    <row r="27" customFormat="false" ht="19.5" hidden="false" customHeight="true" outlineLevel="0" collapsed="false">
      <c r="A27" s="21" t="n">
        <v>24</v>
      </c>
      <c r="B27" s="22" t="s">
        <v>173</v>
      </c>
      <c r="C27" s="22" t="s">
        <v>81</v>
      </c>
      <c r="D27" s="21" t="n">
        <v>2</v>
      </c>
      <c r="E27" s="22" t="s">
        <v>174</v>
      </c>
      <c r="F27" s="22" t="s">
        <v>89</v>
      </c>
      <c r="G27" s="23" t="n">
        <v>4</v>
      </c>
      <c r="H27" s="21" t="s">
        <v>53</v>
      </c>
      <c r="I27" s="22" t="s">
        <v>175</v>
      </c>
      <c r="J27" s="22" t="s">
        <v>176</v>
      </c>
      <c r="K27" s="23" t="n">
        <v>82</v>
      </c>
      <c r="L27" s="23" t="n">
        <v>9</v>
      </c>
      <c r="M27" s="24" t="n">
        <f aca="false">K27*(L27/10)</f>
        <v>73.8</v>
      </c>
      <c r="N27" s="22" t="s">
        <v>177</v>
      </c>
    </row>
    <row r="28" customFormat="false" ht="19.5" hidden="false" customHeight="true" outlineLevel="0" collapsed="false">
      <c r="A28" s="17" t="n">
        <v>25</v>
      </c>
      <c r="B28" s="18" t="s">
        <v>69</v>
      </c>
      <c r="C28" s="18" t="s">
        <v>70</v>
      </c>
      <c r="D28" s="17" t="n">
        <v>2</v>
      </c>
      <c r="E28" s="18" t="s">
        <v>178</v>
      </c>
      <c r="F28" s="18" t="s">
        <v>179</v>
      </c>
      <c r="G28" s="19" t="n">
        <v>2</v>
      </c>
      <c r="H28" s="17" t="s">
        <v>53</v>
      </c>
      <c r="I28" s="18" t="s">
        <v>180</v>
      </c>
      <c r="J28" s="18" t="s">
        <v>181</v>
      </c>
      <c r="K28" s="19" t="n">
        <v>79</v>
      </c>
      <c r="L28" s="19" t="n">
        <v>9</v>
      </c>
      <c r="M28" s="20" t="n">
        <f aca="false">K28*(L28/10)</f>
        <v>71.1</v>
      </c>
      <c r="N28" s="18" t="s">
        <v>182</v>
      </c>
    </row>
    <row r="29" customFormat="false" ht="19.5" hidden="false" customHeight="true" outlineLevel="0" collapsed="false">
      <c r="A29" s="21" t="n">
        <v>26</v>
      </c>
      <c r="B29" s="22" t="s">
        <v>183</v>
      </c>
      <c r="C29" s="22" t="s">
        <v>36</v>
      </c>
      <c r="D29" s="21" t="n">
        <v>1</v>
      </c>
      <c r="E29" s="22" t="s">
        <v>184</v>
      </c>
      <c r="F29" s="22" t="s">
        <v>185</v>
      </c>
      <c r="G29" s="23" t="n">
        <v>6</v>
      </c>
      <c r="H29" s="21" t="s">
        <v>39</v>
      </c>
      <c r="I29" s="22" t="s">
        <v>186</v>
      </c>
      <c r="J29" s="22" t="s">
        <v>187</v>
      </c>
      <c r="K29" s="23" t="n">
        <v>97</v>
      </c>
      <c r="L29" s="23" t="n">
        <v>10</v>
      </c>
      <c r="M29" s="24" t="n">
        <f aca="false">K29*(L29/10)</f>
        <v>97</v>
      </c>
      <c r="N29" s="22" t="s">
        <v>188</v>
      </c>
    </row>
    <row r="30" customFormat="false" ht="19.5" hidden="false" customHeight="true" outlineLevel="0" collapsed="false">
      <c r="A30" s="17" t="n">
        <v>27</v>
      </c>
      <c r="B30" s="18" t="s">
        <v>189</v>
      </c>
      <c r="C30" s="18" t="s">
        <v>50</v>
      </c>
      <c r="D30" s="17" t="n">
        <v>1</v>
      </c>
      <c r="E30" s="18" t="s">
        <v>190</v>
      </c>
      <c r="F30" s="18" t="s">
        <v>185</v>
      </c>
      <c r="G30" s="19" t="n">
        <v>4</v>
      </c>
      <c r="H30" s="17" t="s">
        <v>39</v>
      </c>
      <c r="I30" s="18" t="s">
        <v>191</v>
      </c>
      <c r="J30" s="18" t="s">
        <v>192</v>
      </c>
      <c r="K30" s="19" t="n">
        <v>96</v>
      </c>
      <c r="L30" s="19" t="n">
        <v>10</v>
      </c>
      <c r="M30" s="20" t="n">
        <f aca="false">K30*(L30/10)</f>
        <v>96</v>
      </c>
      <c r="N30" s="18" t="s">
        <v>193</v>
      </c>
    </row>
    <row r="31" customFormat="false" ht="19.5" hidden="false" customHeight="true" outlineLevel="0" collapsed="false">
      <c r="A31" s="21" t="n">
        <v>28</v>
      </c>
      <c r="B31" s="22" t="s">
        <v>194</v>
      </c>
      <c r="C31" s="22" t="s">
        <v>168</v>
      </c>
      <c r="D31" s="21" t="n">
        <v>1</v>
      </c>
      <c r="E31" s="22" t="s">
        <v>195</v>
      </c>
      <c r="F31" s="22" t="s">
        <v>185</v>
      </c>
      <c r="G31" s="23" t="n">
        <v>6</v>
      </c>
      <c r="H31" s="21" t="s">
        <v>39</v>
      </c>
      <c r="I31" s="22" t="s">
        <v>196</v>
      </c>
      <c r="J31" s="22" t="s">
        <v>197</v>
      </c>
      <c r="K31" s="23" t="n">
        <v>94</v>
      </c>
      <c r="L31" s="23" t="n">
        <v>10</v>
      </c>
      <c r="M31" s="24" t="n">
        <f aca="false">K31*(L31/10)</f>
        <v>94</v>
      </c>
      <c r="N31" s="22" t="s">
        <v>198</v>
      </c>
    </row>
    <row r="32" customFormat="false" ht="19.5" hidden="false" customHeight="true" outlineLevel="0" collapsed="false">
      <c r="A32" s="17" t="n">
        <v>29</v>
      </c>
      <c r="B32" s="18" t="s">
        <v>199</v>
      </c>
      <c r="C32" s="18" t="s">
        <v>118</v>
      </c>
      <c r="D32" s="17" t="n">
        <v>2</v>
      </c>
      <c r="E32" s="18" t="s">
        <v>200</v>
      </c>
      <c r="F32" s="18" t="s">
        <v>83</v>
      </c>
      <c r="G32" s="19" t="n">
        <v>4</v>
      </c>
      <c r="H32" s="17" t="s">
        <v>53</v>
      </c>
      <c r="I32" s="18" t="s">
        <v>201</v>
      </c>
      <c r="J32" s="18" t="s">
        <v>202</v>
      </c>
      <c r="K32" s="19" t="n">
        <v>87</v>
      </c>
      <c r="L32" s="19" t="n">
        <v>9</v>
      </c>
      <c r="M32" s="20" t="n">
        <f aca="false">K32*(L32/10)</f>
        <v>78.3</v>
      </c>
      <c r="N32" s="18" t="s">
        <v>203</v>
      </c>
    </row>
    <row r="33" customFormat="false" ht="19.5" hidden="false" customHeight="true" outlineLevel="0" collapsed="false">
      <c r="A33" s="21" t="n">
        <v>30</v>
      </c>
      <c r="B33" s="22" t="s">
        <v>204</v>
      </c>
      <c r="C33" s="22" t="s">
        <v>81</v>
      </c>
      <c r="D33" s="21" t="n">
        <v>2</v>
      </c>
      <c r="E33" s="22" t="s">
        <v>205</v>
      </c>
      <c r="F33" s="22" t="s">
        <v>137</v>
      </c>
      <c r="G33" s="23" t="n">
        <v>2</v>
      </c>
      <c r="H33" s="21" t="s">
        <v>53</v>
      </c>
      <c r="I33" s="22" t="s">
        <v>206</v>
      </c>
      <c r="J33" s="22" t="s">
        <v>207</v>
      </c>
      <c r="K33" s="23" t="n">
        <v>73</v>
      </c>
      <c r="L33" s="23" t="n">
        <v>8</v>
      </c>
      <c r="M33" s="24" t="n">
        <f aca="false">K33*(L33/10)</f>
        <v>58.4</v>
      </c>
      <c r="N33" s="22" t="s">
        <v>208</v>
      </c>
    </row>
    <row r="34" customFormat="false" ht="21.75" hidden="false" customHeight="true" outlineLevel="0" collapsed="false">
      <c r="A34" s="25" t="s">
        <v>209</v>
      </c>
      <c r="K34" s="26" t="n">
        <f aca="false">AVERAGE(K4:K33)</f>
        <v>85.3</v>
      </c>
      <c r="L34" s="26" t="n">
        <f aca="false">AVERAGE(L4:L33)</f>
        <v>9.16666666666667</v>
      </c>
      <c r="M34" s="26" t="n">
        <f aca="false">SUM(M4:M33)</f>
        <v>2361.4</v>
      </c>
    </row>
  </sheetData>
  <mergeCells count="1">
    <mergeCell ref="A1:N1"/>
  </mergeCells>
  <conditionalFormatting sqref="K4:K33">
    <cfRule type="colorScale" priority="2">
      <colorScale>
        <cfvo type="min" val="0"/>
        <cfvo type="max" val="0"/>
        <color rgb="FFC6EFCE"/>
        <color rgb="FF00008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2" min="10" style="0" width="10"/>
    <col collapsed="false" customWidth="true" hidden="false" outlineLevel="0" max="13" min="13" style="0" width="24"/>
    <col collapsed="false" customWidth="true" hidden="false" outlineLevel="0" max="14" min="14" style="0" width="36"/>
  </cols>
  <sheetData>
    <row r="1" customFormat="false" ht="34.5" hidden="false" customHeight="true" outlineLevel="0" collapsed="false">
      <c r="A1" s="27" t="s">
        <v>210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customFormat="false" ht="7.5" hidden="false" customHeight="true" outlineLevel="0" collapsed="false"/>
    <row r="3" customFormat="false" ht="39.75" hidden="false" customHeight="true" outlineLevel="0" collapsed="false">
      <c r="A3" s="28" t="s">
        <v>21</v>
      </c>
      <c r="B3" s="28" t="s">
        <v>22</v>
      </c>
      <c r="C3" s="28" t="s">
        <v>211</v>
      </c>
      <c r="D3" s="28" t="s">
        <v>212</v>
      </c>
      <c r="E3" s="28" t="s">
        <v>213</v>
      </c>
      <c r="F3" s="28" t="s">
        <v>214</v>
      </c>
      <c r="G3" s="28" t="s">
        <v>215</v>
      </c>
      <c r="H3" s="28" t="s">
        <v>216</v>
      </c>
      <c r="I3" s="28" t="s">
        <v>217</v>
      </c>
      <c r="J3" s="28" t="s">
        <v>218</v>
      </c>
      <c r="K3" s="28" t="s">
        <v>219</v>
      </c>
      <c r="L3" s="28" t="s">
        <v>33</v>
      </c>
      <c r="M3" s="28" t="s">
        <v>220</v>
      </c>
      <c r="N3" s="28" t="s">
        <v>34</v>
      </c>
    </row>
    <row r="4" customFormat="false" ht="19.5" hidden="false" customHeight="true" outlineLevel="0" collapsed="false">
      <c r="A4" s="29" t="n">
        <v>1</v>
      </c>
      <c r="B4" s="30" t="s">
        <v>221</v>
      </c>
      <c r="C4" s="30" t="s">
        <v>222</v>
      </c>
      <c r="D4" s="31" t="n">
        <v>9</v>
      </c>
      <c r="E4" s="30" t="s">
        <v>223</v>
      </c>
      <c r="F4" s="30" t="s">
        <v>224</v>
      </c>
      <c r="G4" s="31" t="n">
        <v>10</v>
      </c>
      <c r="H4" s="30" t="s">
        <v>225</v>
      </c>
      <c r="I4" s="30" t="s">
        <v>226</v>
      </c>
      <c r="J4" s="31" t="n">
        <v>100</v>
      </c>
      <c r="K4" s="31" t="n">
        <v>10</v>
      </c>
      <c r="L4" s="32" t="n">
        <f aca="false">J4*(K4/10)</f>
        <v>100</v>
      </c>
      <c r="M4" s="30" t="s">
        <v>227</v>
      </c>
      <c r="N4" s="30" t="s">
        <v>228</v>
      </c>
    </row>
    <row r="5" customFormat="false" ht="19.5" hidden="false" customHeight="true" outlineLevel="0" collapsed="false">
      <c r="A5" s="33" t="n">
        <v>2</v>
      </c>
      <c r="B5" s="34" t="s">
        <v>229</v>
      </c>
      <c r="C5" s="34" t="s">
        <v>230</v>
      </c>
      <c r="D5" s="35" t="n">
        <v>6</v>
      </c>
      <c r="E5" s="34" t="s">
        <v>231</v>
      </c>
      <c r="F5" s="34" t="s">
        <v>232</v>
      </c>
      <c r="G5" s="35" t="n">
        <v>9</v>
      </c>
      <c r="H5" s="34" t="s">
        <v>233</v>
      </c>
      <c r="I5" s="34" t="s">
        <v>234</v>
      </c>
      <c r="J5" s="35" t="n">
        <v>97</v>
      </c>
      <c r="K5" s="35" t="n">
        <v>10</v>
      </c>
      <c r="L5" s="36" t="n">
        <f aca="false">J5*(K5/10)</f>
        <v>97</v>
      </c>
      <c r="M5" s="34" t="s">
        <v>235</v>
      </c>
      <c r="N5" s="34" t="s">
        <v>236</v>
      </c>
    </row>
    <row r="6" customFormat="false" ht="19.5" hidden="false" customHeight="true" outlineLevel="0" collapsed="false">
      <c r="A6" s="29" t="n">
        <v>3</v>
      </c>
      <c r="B6" s="30" t="s">
        <v>237</v>
      </c>
      <c r="C6" s="30" t="s">
        <v>238</v>
      </c>
      <c r="D6" s="31" t="n">
        <v>2</v>
      </c>
      <c r="E6" s="30" t="s">
        <v>239</v>
      </c>
      <c r="F6" s="30" t="s">
        <v>240</v>
      </c>
      <c r="G6" s="31" t="n">
        <v>8</v>
      </c>
      <c r="H6" s="30" t="s">
        <v>241</v>
      </c>
      <c r="I6" s="30" t="s">
        <v>242</v>
      </c>
      <c r="J6" s="31" t="n">
        <v>94</v>
      </c>
      <c r="K6" s="31" t="n">
        <v>9</v>
      </c>
      <c r="L6" s="32" t="n">
        <f aca="false">J6*(K6/10)</f>
        <v>84.6</v>
      </c>
      <c r="M6" s="30" t="s">
        <v>243</v>
      </c>
      <c r="N6" s="30" t="s">
        <v>244</v>
      </c>
    </row>
    <row r="7" customFormat="false" ht="19.5" hidden="false" customHeight="true" outlineLevel="0" collapsed="false">
      <c r="A7" s="33" t="n">
        <v>4</v>
      </c>
      <c r="B7" s="34" t="s">
        <v>245</v>
      </c>
      <c r="C7" s="34" t="s">
        <v>246</v>
      </c>
      <c r="D7" s="35" t="n">
        <v>4</v>
      </c>
      <c r="E7" s="34" t="s">
        <v>247</v>
      </c>
      <c r="F7" s="34" t="s">
        <v>248</v>
      </c>
      <c r="G7" s="35" t="n">
        <v>7</v>
      </c>
      <c r="H7" s="34" t="s">
        <v>249</v>
      </c>
      <c r="I7" s="34" t="s">
        <v>250</v>
      </c>
      <c r="J7" s="35" t="n">
        <v>91</v>
      </c>
      <c r="K7" s="35" t="n">
        <v>9</v>
      </c>
      <c r="L7" s="36" t="n">
        <f aca="false">J7*(K7/10)</f>
        <v>81.9</v>
      </c>
      <c r="M7" s="34" t="s">
        <v>70</v>
      </c>
      <c r="N7" s="34" t="s">
        <v>251</v>
      </c>
    </row>
    <row r="8" customFormat="false" ht="19.5" hidden="false" customHeight="true" outlineLevel="0" collapsed="false">
      <c r="A8" s="29" t="n">
        <v>5</v>
      </c>
      <c r="B8" s="30" t="s">
        <v>252</v>
      </c>
      <c r="C8" s="30" t="s">
        <v>253</v>
      </c>
      <c r="D8" s="31" t="n">
        <v>7</v>
      </c>
      <c r="E8" s="30" t="s">
        <v>254</v>
      </c>
      <c r="F8" s="30" t="s">
        <v>255</v>
      </c>
      <c r="G8" s="31" t="n">
        <v>9</v>
      </c>
      <c r="H8" s="30" t="s">
        <v>256</v>
      </c>
      <c r="I8" s="30" t="s">
        <v>257</v>
      </c>
      <c r="J8" s="31" t="n">
        <v>95</v>
      </c>
      <c r="K8" s="31" t="n">
        <v>9</v>
      </c>
      <c r="L8" s="32" t="n">
        <f aca="false">J8*(K8/10)</f>
        <v>85.5</v>
      </c>
      <c r="M8" s="30" t="s">
        <v>258</v>
      </c>
      <c r="N8" s="30" t="s">
        <v>259</v>
      </c>
    </row>
    <row r="9" customFormat="false" ht="19.5" hidden="false" customHeight="true" outlineLevel="0" collapsed="false">
      <c r="A9" s="33" t="n">
        <v>6</v>
      </c>
      <c r="B9" s="34" t="s">
        <v>260</v>
      </c>
      <c r="C9" s="34" t="s">
        <v>261</v>
      </c>
      <c r="D9" s="35" t="n">
        <v>5</v>
      </c>
      <c r="E9" s="34" t="s">
        <v>262</v>
      </c>
      <c r="F9" s="34" t="s">
        <v>263</v>
      </c>
      <c r="G9" s="35" t="n">
        <v>6</v>
      </c>
      <c r="H9" s="34" t="s">
        <v>264</v>
      </c>
      <c r="I9" s="34" t="s">
        <v>265</v>
      </c>
      <c r="J9" s="35" t="n">
        <v>88</v>
      </c>
      <c r="K9" s="35" t="n">
        <v>8</v>
      </c>
      <c r="L9" s="36" t="n">
        <f aca="false">J9*(K9/10)</f>
        <v>70.4</v>
      </c>
      <c r="M9" s="34" t="s">
        <v>70</v>
      </c>
      <c r="N9" s="34" t="s">
        <v>266</v>
      </c>
    </row>
    <row r="10" customFormat="false" ht="19.5" hidden="false" customHeight="true" outlineLevel="0" collapsed="false">
      <c r="A10" s="29" t="n">
        <v>7</v>
      </c>
      <c r="B10" s="30" t="s">
        <v>267</v>
      </c>
      <c r="C10" s="30" t="s">
        <v>268</v>
      </c>
      <c r="D10" s="31" t="n">
        <v>8</v>
      </c>
      <c r="E10" s="30" t="s">
        <v>269</v>
      </c>
      <c r="F10" s="30" t="s">
        <v>270</v>
      </c>
      <c r="G10" s="31" t="n">
        <v>7</v>
      </c>
      <c r="H10" s="30" t="s">
        <v>271</v>
      </c>
      <c r="I10" s="30" t="s">
        <v>272</v>
      </c>
      <c r="J10" s="31" t="n">
        <v>85</v>
      </c>
      <c r="K10" s="31" t="n">
        <v>8</v>
      </c>
      <c r="L10" s="32" t="n">
        <f aca="false">J10*(K10/10)</f>
        <v>68</v>
      </c>
      <c r="M10" s="30" t="s">
        <v>168</v>
      </c>
      <c r="N10" s="30" t="s">
        <v>273</v>
      </c>
    </row>
    <row r="11" customFormat="false" ht="19.5" hidden="false" customHeight="true" outlineLevel="0" collapsed="false">
      <c r="A11" s="33" t="n">
        <v>8</v>
      </c>
      <c r="B11" s="34" t="s">
        <v>274</v>
      </c>
      <c r="C11" s="34" t="s">
        <v>275</v>
      </c>
      <c r="D11" s="35" t="n">
        <v>5</v>
      </c>
      <c r="E11" s="34" t="s">
        <v>276</v>
      </c>
      <c r="F11" s="34" t="s">
        <v>277</v>
      </c>
      <c r="G11" s="35" t="n">
        <v>8</v>
      </c>
      <c r="H11" s="34" t="s">
        <v>278</v>
      </c>
      <c r="I11" s="34" t="s">
        <v>279</v>
      </c>
      <c r="J11" s="35" t="n">
        <v>90</v>
      </c>
      <c r="K11" s="35" t="n">
        <v>9</v>
      </c>
      <c r="L11" s="36" t="n">
        <f aca="false">J11*(K11/10)</f>
        <v>81</v>
      </c>
      <c r="M11" s="34" t="s">
        <v>280</v>
      </c>
      <c r="N11" s="34" t="s">
        <v>281</v>
      </c>
    </row>
    <row r="12" customFormat="false" ht="19.5" hidden="false" customHeight="true" outlineLevel="0" collapsed="false">
      <c r="A12" s="29" t="n">
        <v>9</v>
      </c>
      <c r="B12" s="30" t="s">
        <v>282</v>
      </c>
      <c r="C12" s="30" t="s">
        <v>283</v>
      </c>
      <c r="D12" s="31" t="n">
        <v>1</v>
      </c>
      <c r="E12" s="30" t="s">
        <v>284</v>
      </c>
      <c r="F12" s="30" t="s">
        <v>285</v>
      </c>
      <c r="G12" s="31" t="n">
        <v>9</v>
      </c>
      <c r="H12" s="30" t="s">
        <v>286</v>
      </c>
      <c r="I12" s="30" t="s">
        <v>287</v>
      </c>
      <c r="J12" s="31" t="n">
        <v>93</v>
      </c>
      <c r="K12" s="31" t="n">
        <v>9</v>
      </c>
      <c r="L12" s="32" t="n">
        <f aca="false">J12*(K12/10)</f>
        <v>83.7</v>
      </c>
      <c r="M12" s="30" t="s">
        <v>50</v>
      </c>
      <c r="N12" s="30" t="s">
        <v>288</v>
      </c>
    </row>
    <row r="13" customFormat="false" ht="19.5" hidden="false" customHeight="true" outlineLevel="0" collapsed="false">
      <c r="A13" s="33" t="n">
        <v>10</v>
      </c>
      <c r="B13" s="34" t="s">
        <v>289</v>
      </c>
      <c r="C13" s="34" t="s">
        <v>290</v>
      </c>
      <c r="D13" s="35" t="n">
        <v>1</v>
      </c>
      <c r="E13" s="34" t="s">
        <v>291</v>
      </c>
      <c r="F13" s="34" t="s">
        <v>292</v>
      </c>
      <c r="G13" s="35" t="n">
        <v>6</v>
      </c>
      <c r="H13" s="34" t="s">
        <v>293</v>
      </c>
      <c r="I13" s="34" t="s">
        <v>294</v>
      </c>
      <c r="J13" s="35" t="n">
        <v>72</v>
      </c>
      <c r="K13" s="35" t="n">
        <v>7</v>
      </c>
      <c r="L13" s="36" t="n">
        <f aca="false">J13*(K13/10)</f>
        <v>50.4</v>
      </c>
      <c r="M13" s="34" t="s">
        <v>135</v>
      </c>
      <c r="N13" s="34" t="s">
        <v>295</v>
      </c>
    </row>
    <row r="14" customFormat="false" ht="19.5" hidden="false" customHeight="true" outlineLevel="0" collapsed="false">
      <c r="A14" s="29" t="n">
        <v>11</v>
      </c>
      <c r="B14" s="30" t="s">
        <v>296</v>
      </c>
      <c r="C14" s="30" t="s">
        <v>297</v>
      </c>
      <c r="D14" s="31" t="n">
        <v>3</v>
      </c>
      <c r="E14" s="30" t="s">
        <v>298</v>
      </c>
      <c r="F14" s="30" t="s">
        <v>299</v>
      </c>
      <c r="G14" s="31" t="n">
        <v>5</v>
      </c>
      <c r="H14" s="30" t="s">
        <v>300</v>
      </c>
      <c r="I14" s="30" t="s">
        <v>301</v>
      </c>
      <c r="J14" s="31" t="n">
        <v>70</v>
      </c>
      <c r="K14" s="31" t="n">
        <v>7</v>
      </c>
      <c r="L14" s="32" t="n">
        <f aca="false">J14*(K14/10)</f>
        <v>49</v>
      </c>
      <c r="M14" s="30" t="s">
        <v>168</v>
      </c>
      <c r="N14" s="30" t="s">
        <v>302</v>
      </c>
    </row>
    <row r="15" customFormat="false" ht="19.5" hidden="false" customHeight="true" outlineLevel="0" collapsed="false">
      <c r="A15" s="33" t="n">
        <v>12</v>
      </c>
      <c r="B15" s="34" t="s">
        <v>303</v>
      </c>
      <c r="C15" s="34" t="s">
        <v>304</v>
      </c>
      <c r="D15" s="35" t="n">
        <v>7</v>
      </c>
      <c r="E15" s="34" t="s">
        <v>305</v>
      </c>
      <c r="F15" s="34" t="s">
        <v>306</v>
      </c>
      <c r="G15" s="35" t="n">
        <v>8</v>
      </c>
      <c r="H15" s="34" t="s">
        <v>307</v>
      </c>
      <c r="I15" s="34" t="s">
        <v>308</v>
      </c>
      <c r="J15" s="35" t="n">
        <v>89</v>
      </c>
      <c r="K15" s="35" t="n">
        <v>9</v>
      </c>
      <c r="L15" s="36" t="n">
        <f aca="false">J15*(K15/10)</f>
        <v>80.1</v>
      </c>
      <c r="M15" s="34" t="s">
        <v>94</v>
      </c>
      <c r="N15" s="34" t="s">
        <v>309</v>
      </c>
    </row>
    <row r="16" customFormat="false" ht="19.5" hidden="false" customHeight="true" outlineLevel="0" collapsed="false">
      <c r="A16" s="29" t="n">
        <v>13</v>
      </c>
      <c r="B16" s="30" t="s">
        <v>310</v>
      </c>
      <c r="C16" s="30" t="s">
        <v>311</v>
      </c>
      <c r="D16" s="31" t="n">
        <v>2</v>
      </c>
      <c r="E16" s="30" t="s">
        <v>312</v>
      </c>
      <c r="F16" s="30" t="s">
        <v>313</v>
      </c>
      <c r="G16" s="31" t="n">
        <v>8</v>
      </c>
      <c r="H16" s="30" t="s">
        <v>314</v>
      </c>
      <c r="I16" s="30" t="s">
        <v>315</v>
      </c>
      <c r="J16" s="31" t="n">
        <v>92</v>
      </c>
      <c r="K16" s="31" t="n">
        <v>9</v>
      </c>
      <c r="L16" s="32" t="n">
        <f aca="false">J16*(K16/10)</f>
        <v>82.8</v>
      </c>
      <c r="M16" s="30" t="s">
        <v>316</v>
      </c>
      <c r="N16" s="30" t="s">
        <v>317</v>
      </c>
    </row>
    <row r="17" customFormat="false" ht="19.5" hidden="false" customHeight="true" outlineLevel="0" collapsed="false">
      <c r="A17" s="33" t="n">
        <v>14</v>
      </c>
      <c r="B17" s="34" t="s">
        <v>318</v>
      </c>
      <c r="C17" s="34" t="s">
        <v>319</v>
      </c>
      <c r="D17" s="35" t="n">
        <v>8</v>
      </c>
      <c r="E17" s="34" t="s">
        <v>320</v>
      </c>
      <c r="F17" s="34" t="s">
        <v>321</v>
      </c>
      <c r="G17" s="35" t="n">
        <v>8</v>
      </c>
      <c r="H17" s="34" t="s">
        <v>322</v>
      </c>
      <c r="I17" s="34" t="s">
        <v>323</v>
      </c>
      <c r="J17" s="35" t="n">
        <v>88</v>
      </c>
      <c r="K17" s="35" t="n">
        <v>9</v>
      </c>
      <c r="L17" s="36" t="n">
        <f aca="false">J17*(K17/10)</f>
        <v>79.2</v>
      </c>
      <c r="M17" s="34" t="s">
        <v>324</v>
      </c>
      <c r="N17" s="34" t="s">
        <v>325</v>
      </c>
    </row>
    <row r="18" customFormat="false" ht="19.5" hidden="false" customHeight="true" outlineLevel="0" collapsed="false">
      <c r="A18" s="29" t="n">
        <v>15</v>
      </c>
      <c r="B18" s="30" t="s">
        <v>326</v>
      </c>
      <c r="C18" s="30" t="s">
        <v>327</v>
      </c>
      <c r="D18" s="31" t="n">
        <v>1</v>
      </c>
      <c r="E18" s="30" t="s">
        <v>328</v>
      </c>
      <c r="F18" s="30" t="s">
        <v>329</v>
      </c>
      <c r="G18" s="31" t="n">
        <v>9</v>
      </c>
      <c r="H18" s="30" t="s">
        <v>330</v>
      </c>
      <c r="I18" s="30" t="s">
        <v>331</v>
      </c>
      <c r="J18" s="31" t="n">
        <v>92</v>
      </c>
      <c r="K18" s="31" t="n">
        <v>9</v>
      </c>
      <c r="L18" s="32" t="n">
        <f aca="false">J18*(K18/10)</f>
        <v>82.8</v>
      </c>
      <c r="M18" s="30" t="s">
        <v>36</v>
      </c>
      <c r="N18" s="30" t="s">
        <v>332</v>
      </c>
    </row>
    <row r="19" customFormat="false" ht="19.5" hidden="false" customHeight="true" outlineLevel="0" collapsed="false">
      <c r="A19" s="33" t="n">
        <v>16</v>
      </c>
      <c r="B19" s="34" t="s">
        <v>333</v>
      </c>
      <c r="C19" s="34" t="s">
        <v>334</v>
      </c>
      <c r="D19" s="35" t="n">
        <v>1</v>
      </c>
      <c r="E19" s="34" t="s">
        <v>335</v>
      </c>
      <c r="F19" s="34" t="s">
        <v>336</v>
      </c>
      <c r="G19" s="35" t="n">
        <v>8</v>
      </c>
      <c r="H19" s="34" t="s">
        <v>337</v>
      </c>
      <c r="I19" s="34" t="s">
        <v>338</v>
      </c>
      <c r="J19" s="35" t="n">
        <v>86</v>
      </c>
      <c r="K19" s="35" t="n">
        <v>8</v>
      </c>
      <c r="L19" s="36" t="n">
        <f aca="false">J19*(K19/10)</f>
        <v>68.8</v>
      </c>
      <c r="M19" s="34" t="s">
        <v>168</v>
      </c>
      <c r="N19" s="34" t="s">
        <v>339</v>
      </c>
    </row>
    <row r="20" customFormat="false" ht="19.5" hidden="false" customHeight="true" outlineLevel="0" collapsed="false">
      <c r="A20" s="29" t="n">
        <v>17</v>
      </c>
      <c r="B20" s="30" t="s">
        <v>340</v>
      </c>
      <c r="C20" s="30" t="s">
        <v>341</v>
      </c>
      <c r="D20" s="31" t="n">
        <v>3</v>
      </c>
      <c r="E20" s="30" t="s">
        <v>342</v>
      </c>
      <c r="F20" s="30" t="s">
        <v>343</v>
      </c>
      <c r="G20" s="31" t="n">
        <v>6</v>
      </c>
      <c r="H20" s="30" t="s">
        <v>344</v>
      </c>
      <c r="I20" s="30" t="s">
        <v>345</v>
      </c>
      <c r="J20" s="31" t="n">
        <v>68</v>
      </c>
      <c r="K20" s="31" t="n">
        <v>7</v>
      </c>
      <c r="L20" s="32" t="n">
        <f aca="false">J20*(K20/10)</f>
        <v>47.6</v>
      </c>
      <c r="M20" s="30" t="s">
        <v>135</v>
      </c>
      <c r="N20" s="30" t="s">
        <v>346</v>
      </c>
    </row>
    <row r="21" customFormat="false" ht="19.5" hidden="false" customHeight="true" outlineLevel="0" collapsed="false">
      <c r="A21" s="33" t="n">
        <v>18</v>
      </c>
      <c r="B21" s="34" t="s">
        <v>347</v>
      </c>
      <c r="C21" s="34" t="s">
        <v>348</v>
      </c>
      <c r="D21" s="35" t="n">
        <v>2</v>
      </c>
      <c r="E21" s="34" t="s">
        <v>239</v>
      </c>
      <c r="F21" s="34" t="s">
        <v>349</v>
      </c>
      <c r="G21" s="35" t="n">
        <v>5</v>
      </c>
      <c r="H21" s="34" t="s">
        <v>350</v>
      </c>
      <c r="I21" s="34" t="s">
        <v>351</v>
      </c>
      <c r="J21" s="35" t="n">
        <v>73</v>
      </c>
      <c r="K21" s="35" t="n">
        <v>7</v>
      </c>
      <c r="L21" s="36" t="n">
        <f aca="false">J21*(K21/10)</f>
        <v>51.1</v>
      </c>
      <c r="M21" s="34" t="s">
        <v>135</v>
      </c>
      <c r="N21" s="34" t="s">
        <v>352</v>
      </c>
    </row>
    <row r="22" customFormat="false" ht="19.5" hidden="false" customHeight="true" outlineLevel="0" collapsed="false">
      <c r="A22" s="29" t="n">
        <v>19</v>
      </c>
      <c r="B22" s="30" t="s">
        <v>353</v>
      </c>
      <c r="C22" s="30" t="s">
        <v>354</v>
      </c>
      <c r="D22" s="31" t="n">
        <v>5</v>
      </c>
      <c r="E22" s="30" t="s">
        <v>355</v>
      </c>
      <c r="F22" s="30" t="s">
        <v>356</v>
      </c>
      <c r="G22" s="31" t="n">
        <v>7</v>
      </c>
      <c r="H22" s="30" t="s">
        <v>357</v>
      </c>
      <c r="I22" s="30" t="s">
        <v>358</v>
      </c>
      <c r="J22" s="31" t="n">
        <v>76</v>
      </c>
      <c r="K22" s="31" t="n">
        <v>7</v>
      </c>
      <c r="L22" s="32" t="n">
        <f aca="false">J22*(K22/10)</f>
        <v>53.2</v>
      </c>
      <c r="M22" s="30" t="s">
        <v>118</v>
      </c>
      <c r="N22" s="30" t="s">
        <v>359</v>
      </c>
    </row>
    <row r="23" customFormat="false" ht="19.5" hidden="false" customHeight="true" outlineLevel="0" collapsed="false">
      <c r="A23" s="33" t="n">
        <v>20</v>
      </c>
      <c r="B23" s="34" t="s">
        <v>360</v>
      </c>
      <c r="C23" s="34" t="s">
        <v>361</v>
      </c>
      <c r="D23" s="35" t="n">
        <v>6</v>
      </c>
      <c r="E23" s="34" t="s">
        <v>362</v>
      </c>
      <c r="F23" s="34" t="s">
        <v>363</v>
      </c>
      <c r="G23" s="35" t="n">
        <v>7</v>
      </c>
      <c r="H23" s="34" t="s">
        <v>364</v>
      </c>
      <c r="I23" s="34" t="s">
        <v>365</v>
      </c>
      <c r="J23" s="35" t="n">
        <v>74</v>
      </c>
      <c r="K23" s="35" t="n">
        <v>7</v>
      </c>
      <c r="L23" s="36" t="n">
        <f aca="false">J23*(K23/10)</f>
        <v>51.8</v>
      </c>
      <c r="M23" s="34" t="s">
        <v>168</v>
      </c>
      <c r="N23" s="34" t="s">
        <v>366</v>
      </c>
    </row>
    <row r="24" customFormat="false" ht="19.5" hidden="false" customHeight="true" outlineLevel="0" collapsed="false">
      <c r="A24" s="29" t="n">
        <v>21</v>
      </c>
      <c r="B24" s="30" t="s">
        <v>367</v>
      </c>
      <c r="C24" s="30" t="s">
        <v>268</v>
      </c>
      <c r="D24" s="31" t="n">
        <v>3</v>
      </c>
      <c r="E24" s="30" t="s">
        <v>368</v>
      </c>
      <c r="F24" s="30" t="s">
        <v>369</v>
      </c>
      <c r="G24" s="31" t="n">
        <v>6</v>
      </c>
      <c r="H24" s="30" t="s">
        <v>370</v>
      </c>
      <c r="I24" s="30" t="s">
        <v>371</v>
      </c>
      <c r="J24" s="31" t="n">
        <v>69</v>
      </c>
      <c r="K24" s="31" t="n">
        <v>7</v>
      </c>
      <c r="L24" s="32" t="n">
        <f aca="false">J24*(K24/10)</f>
        <v>48.3</v>
      </c>
      <c r="M24" s="30" t="s">
        <v>168</v>
      </c>
      <c r="N24" s="30" t="s">
        <v>372</v>
      </c>
    </row>
    <row r="25" customFormat="false" ht="19.5" hidden="false" customHeight="true" outlineLevel="0" collapsed="false">
      <c r="A25" s="33" t="n">
        <v>22</v>
      </c>
      <c r="B25" s="34" t="s">
        <v>373</v>
      </c>
      <c r="C25" s="34" t="s">
        <v>374</v>
      </c>
      <c r="D25" s="35" t="n">
        <v>9</v>
      </c>
      <c r="E25" s="34" t="s">
        <v>375</v>
      </c>
      <c r="F25" s="34" t="s">
        <v>376</v>
      </c>
      <c r="G25" s="35" t="n">
        <v>10</v>
      </c>
      <c r="H25" s="34" t="s">
        <v>377</v>
      </c>
      <c r="I25" s="34" t="s">
        <v>378</v>
      </c>
      <c r="J25" s="35" t="n">
        <v>98</v>
      </c>
      <c r="K25" s="35" t="n">
        <v>10</v>
      </c>
      <c r="L25" s="36" t="n">
        <f aca="false">J25*(K25/10)</f>
        <v>98</v>
      </c>
      <c r="M25" s="34" t="s">
        <v>94</v>
      </c>
      <c r="N25" s="34" t="s">
        <v>379</v>
      </c>
    </row>
    <row r="26" customFormat="false" ht="19.5" hidden="false" customHeight="true" outlineLevel="0" collapsed="false">
      <c r="A26" s="29" t="n">
        <v>23</v>
      </c>
      <c r="B26" s="30" t="s">
        <v>380</v>
      </c>
      <c r="C26" s="30" t="s">
        <v>381</v>
      </c>
      <c r="D26" s="31" t="n">
        <v>7</v>
      </c>
      <c r="E26" s="30" t="s">
        <v>382</v>
      </c>
      <c r="F26" s="30" t="s">
        <v>383</v>
      </c>
      <c r="G26" s="31" t="n">
        <v>9</v>
      </c>
      <c r="H26" s="30" t="s">
        <v>384</v>
      </c>
      <c r="I26" s="30" t="s">
        <v>385</v>
      </c>
      <c r="J26" s="31" t="n">
        <v>90</v>
      </c>
      <c r="K26" s="31" t="n">
        <v>10</v>
      </c>
      <c r="L26" s="32" t="n">
        <f aca="false">J26*(K26/10)</f>
        <v>90</v>
      </c>
      <c r="M26" s="30" t="s">
        <v>70</v>
      </c>
      <c r="N26" s="30" t="s">
        <v>386</v>
      </c>
    </row>
    <row r="27" customFormat="false" ht="19.5" hidden="false" customHeight="true" outlineLevel="0" collapsed="false">
      <c r="A27" s="33" t="n">
        <v>24</v>
      </c>
      <c r="B27" s="34" t="s">
        <v>260</v>
      </c>
      <c r="C27" s="34" t="s">
        <v>387</v>
      </c>
      <c r="D27" s="35" t="n">
        <v>5</v>
      </c>
      <c r="E27" s="34" t="s">
        <v>388</v>
      </c>
      <c r="F27" s="34" t="s">
        <v>389</v>
      </c>
      <c r="G27" s="35" t="n">
        <v>6</v>
      </c>
      <c r="H27" s="34" t="s">
        <v>390</v>
      </c>
      <c r="I27" s="34" t="s">
        <v>391</v>
      </c>
      <c r="J27" s="35" t="n">
        <v>80</v>
      </c>
      <c r="K27" s="35" t="n">
        <v>8</v>
      </c>
      <c r="L27" s="36" t="n">
        <f aca="false">J27*(K27/10)</f>
        <v>64</v>
      </c>
      <c r="M27" s="34" t="s">
        <v>70</v>
      </c>
      <c r="N27" s="34" t="s">
        <v>392</v>
      </c>
    </row>
    <row r="28" customFormat="false" ht="19.5" hidden="false" customHeight="true" outlineLevel="0" collapsed="false">
      <c r="A28" s="29" t="n">
        <v>25</v>
      </c>
      <c r="B28" s="30" t="s">
        <v>393</v>
      </c>
      <c r="C28" s="30" t="s">
        <v>394</v>
      </c>
      <c r="D28" s="31" t="n">
        <v>4</v>
      </c>
      <c r="E28" s="30" t="s">
        <v>395</v>
      </c>
      <c r="F28" s="30" t="s">
        <v>396</v>
      </c>
      <c r="G28" s="31" t="n">
        <v>7</v>
      </c>
      <c r="H28" s="30" t="s">
        <v>397</v>
      </c>
      <c r="I28" s="30" t="s">
        <v>398</v>
      </c>
      <c r="J28" s="31" t="n">
        <v>77</v>
      </c>
      <c r="K28" s="31" t="n">
        <v>7</v>
      </c>
      <c r="L28" s="32" t="n">
        <f aca="false">J28*(K28/10)</f>
        <v>53.9</v>
      </c>
      <c r="M28" s="30" t="s">
        <v>81</v>
      </c>
      <c r="N28" s="30" t="s">
        <v>399</v>
      </c>
    </row>
    <row r="29" customFormat="false" ht="19.5" hidden="false" customHeight="true" outlineLevel="0" collapsed="false">
      <c r="A29" s="33" t="n">
        <v>26</v>
      </c>
      <c r="B29" s="34" t="s">
        <v>400</v>
      </c>
      <c r="C29" s="34" t="s">
        <v>290</v>
      </c>
      <c r="D29" s="35" t="n">
        <v>6</v>
      </c>
      <c r="E29" s="34" t="s">
        <v>401</v>
      </c>
      <c r="F29" s="34" t="s">
        <v>402</v>
      </c>
      <c r="G29" s="35" t="n">
        <v>6</v>
      </c>
      <c r="H29" s="34" t="s">
        <v>403</v>
      </c>
      <c r="I29" s="34" t="s">
        <v>404</v>
      </c>
      <c r="J29" s="35" t="n">
        <v>71</v>
      </c>
      <c r="K29" s="35" t="n">
        <v>7</v>
      </c>
      <c r="L29" s="36" t="n">
        <f aca="false">J29*(K29/10)</f>
        <v>49.7</v>
      </c>
      <c r="M29" s="34" t="s">
        <v>168</v>
      </c>
      <c r="N29" s="34" t="s">
        <v>405</v>
      </c>
    </row>
    <row r="30" customFormat="false" ht="19.5" hidden="false" customHeight="true" outlineLevel="0" collapsed="false">
      <c r="A30" s="29" t="n">
        <v>27</v>
      </c>
      <c r="B30" s="30" t="s">
        <v>406</v>
      </c>
      <c r="C30" s="30" t="s">
        <v>407</v>
      </c>
      <c r="D30" s="31" t="n">
        <v>3</v>
      </c>
      <c r="E30" s="30" t="s">
        <v>408</v>
      </c>
      <c r="F30" s="30" t="s">
        <v>409</v>
      </c>
      <c r="G30" s="31" t="n">
        <v>5</v>
      </c>
      <c r="H30" s="30" t="s">
        <v>410</v>
      </c>
      <c r="I30" s="30" t="s">
        <v>411</v>
      </c>
      <c r="J30" s="31" t="n">
        <v>67</v>
      </c>
      <c r="K30" s="31" t="n">
        <v>6</v>
      </c>
      <c r="L30" s="32" t="n">
        <f aca="false">J30*(K30/10)</f>
        <v>40.2</v>
      </c>
      <c r="M30" s="30" t="s">
        <v>135</v>
      </c>
      <c r="N30" s="30" t="s">
        <v>412</v>
      </c>
    </row>
    <row r="31" customFormat="false" ht="19.5" hidden="false" customHeight="true" outlineLevel="0" collapsed="false">
      <c r="A31" s="33" t="n">
        <v>28</v>
      </c>
      <c r="B31" s="34" t="s">
        <v>413</v>
      </c>
      <c r="C31" s="34" t="s">
        <v>394</v>
      </c>
      <c r="D31" s="35" t="n">
        <v>2</v>
      </c>
      <c r="E31" s="34" t="s">
        <v>414</v>
      </c>
      <c r="F31" s="34" t="s">
        <v>415</v>
      </c>
      <c r="G31" s="35" t="n">
        <v>6</v>
      </c>
      <c r="H31" s="34" t="s">
        <v>416</v>
      </c>
      <c r="I31" s="34" t="s">
        <v>417</v>
      </c>
      <c r="J31" s="35" t="n">
        <v>73</v>
      </c>
      <c r="K31" s="35" t="n">
        <v>7</v>
      </c>
      <c r="L31" s="36" t="n">
        <f aca="false">J31*(K31/10)</f>
        <v>51.1</v>
      </c>
      <c r="M31" s="34" t="s">
        <v>81</v>
      </c>
      <c r="N31" s="34" t="s">
        <v>418</v>
      </c>
    </row>
    <row r="32" customFormat="false" ht="19.5" hidden="false" customHeight="true" outlineLevel="0" collapsed="false">
      <c r="A32" s="29" t="n">
        <v>29</v>
      </c>
      <c r="B32" s="30" t="s">
        <v>419</v>
      </c>
      <c r="C32" s="30" t="s">
        <v>420</v>
      </c>
      <c r="D32" s="31" t="n">
        <v>4</v>
      </c>
      <c r="E32" s="30" t="s">
        <v>421</v>
      </c>
      <c r="F32" s="30" t="s">
        <v>422</v>
      </c>
      <c r="G32" s="31" t="n">
        <v>5</v>
      </c>
      <c r="H32" s="30" t="s">
        <v>423</v>
      </c>
      <c r="I32" s="30" t="s">
        <v>424</v>
      </c>
      <c r="J32" s="31" t="n">
        <v>66</v>
      </c>
      <c r="K32" s="31" t="n">
        <v>6</v>
      </c>
      <c r="L32" s="32" t="n">
        <f aca="false">J32*(K32/10)</f>
        <v>39.6</v>
      </c>
      <c r="M32" s="30" t="s">
        <v>70</v>
      </c>
      <c r="N32" s="30" t="s">
        <v>425</v>
      </c>
    </row>
    <row r="33" customFormat="false" ht="19.5" hidden="false" customHeight="true" outlineLevel="0" collapsed="false">
      <c r="A33" s="33" t="n">
        <v>30</v>
      </c>
      <c r="B33" s="34" t="s">
        <v>426</v>
      </c>
      <c r="C33" s="34" t="s">
        <v>268</v>
      </c>
      <c r="D33" s="35" t="n">
        <v>3</v>
      </c>
      <c r="E33" s="34" t="s">
        <v>427</v>
      </c>
      <c r="F33" s="34" t="s">
        <v>428</v>
      </c>
      <c r="G33" s="35" t="n">
        <v>5</v>
      </c>
      <c r="H33" s="34" t="s">
        <v>429</v>
      </c>
      <c r="I33" s="34" t="s">
        <v>430</v>
      </c>
      <c r="J33" s="35" t="n">
        <v>65</v>
      </c>
      <c r="K33" s="35" t="n">
        <v>6</v>
      </c>
      <c r="L33" s="36" t="n">
        <f aca="false">J33*(K33/10)</f>
        <v>39</v>
      </c>
      <c r="M33" s="34" t="s">
        <v>135</v>
      </c>
      <c r="N33" s="34" t="s">
        <v>431</v>
      </c>
    </row>
    <row r="34" customFormat="false" ht="21.75" hidden="false" customHeight="true" outlineLevel="0" collapsed="false">
      <c r="A34" s="37" t="s">
        <v>209</v>
      </c>
      <c r="J34" s="38" t="n">
        <f aca="false">AVERAGE(J4:J33)</f>
        <v>82.3</v>
      </c>
      <c r="K34" s="38" t="n">
        <f aca="false">AVERAGE(K4:K33)</f>
        <v>8.03333333333333</v>
      </c>
      <c r="L34" s="38" t="n">
        <f aca="false">SUM(L4:L33)</f>
        <v>2022.7</v>
      </c>
    </row>
  </sheetData>
  <mergeCells count="1">
    <mergeCell ref="A1:O1"/>
  </mergeCells>
  <conditionalFormatting sqref="J4:J33">
    <cfRule type="colorScale" priority="2">
      <colorScale>
        <cfvo type="min" val="0"/>
        <cfvo type="max" val="0"/>
        <color rgb="FFFFEB9C"/>
        <color rgb="FF9C000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34.5" hidden="false" customHeight="true" outlineLevel="0" collapsed="false">
      <c r="A1" s="39" t="s">
        <v>432</v>
      </c>
      <c r="B1" s="39"/>
      <c r="C1" s="39"/>
      <c r="D1" s="39"/>
      <c r="E1" s="39"/>
      <c r="F1" s="39"/>
      <c r="G1" s="39"/>
      <c r="H1" s="39"/>
    </row>
    <row r="3" customFormat="false" ht="30" hidden="false" customHeight="true" outlineLevel="0" collapsed="false">
      <c r="A3" s="40" t="s">
        <v>433</v>
      </c>
      <c r="B3" s="40" t="s">
        <v>434</v>
      </c>
      <c r="C3" s="40" t="s">
        <v>435</v>
      </c>
      <c r="D3" s="40" t="s">
        <v>436</v>
      </c>
      <c r="E3" s="40" t="s">
        <v>437</v>
      </c>
      <c r="F3" s="40" t="s">
        <v>34</v>
      </c>
    </row>
    <row r="4" customFormat="false" ht="21.75" hidden="false" customHeight="true" outlineLevel="0" collapsed="false">
      <c r="A4" s="41" t="s">
        <v>438</v>
      </c>
      <c r="B4" s="42" t="n">
        <f aca="false">COUNTA('👼 Angels'!B4:B120)</f>
        <v>30</v>
      </c>
      <c r="C4" s="42" t="n">
        <f aca="false">COUNTA('😈 Demons'!B4:B120)</f>
        <v>30</v>
      </c>
      <c r="D4" s="42" t="n">
        <f aca="false">B4-C4</f>
        <v>0</v>
      </c>
      <c r="E4" s="43" t="str">
        <f aca="false">IF(D4&gt;0,"✦ HEAVEN",IF(D4&lt;0,"✶ HELL","TIE"))</f>
        <v>TIE</v>
      </c>
      <c r="F4" s="44" t="s">
        <v>439</v>
      </c>
    </row>
    <row r="5" customFormat="false" ht="21.75" hidden="false" customHeight="true" outlineLevel="0" collapsed="false">
      <c r="A5" s="45" t="s">
        <v>440</v>
      </c>
      <c r="B5" s="46" t="n">
        <f aca="false">AVERAGE('👼 Angels'!K4:K120)</f>
        <v>85.3</v>
      </c>
      <c r="C5" s="46" t="n">
        <f aca="false">AVERAGE('😈 Demons'!J4:J120)</f>
        <v>82.3</v>
      </c>
      <c r="D5" s="46" t="n">
        <f aca="false">B5-C5</f>
        <v>3</v>
      </c>
      <c r="E5" s="47" t="str">
        <f aca="false">IF(D5&gt;0,"✦ HEAVEN",IF(D5&lt;0,"✶ HELL","TIE"))</f>
        <v>✦ HEAVEN</v>
      </c>
      <c r="F5" s="48" t="s">
        <v>441</v>
      </c>
    </row>
    <row r="6" customFormat="false" ht="21.75" hidden="false" customHeight="true" outlineLevel="0" collapsed="false">
      <c r="A6" s="41" t="s">
        <v>442</v>
      </c>
      <c r="B6" s="42" t="n">
        <f aca="false">AVERAGE('👼 Angels'!L4:L120)</f>
        <v>9.16666666666667</v>
      </c>
      <c r="C6" s="42" t="n">
        <f aca="false">AVERAGE('😈 Demons'!K4:K120)</f>
        <v>8.03333333333333</v>
      </c>
      <c r="D6" s="42" t="n">
        <f aca="false">B6-C6</f>
        <v>1.13333333333333</v>
      </c>
      <c r="E6" s="43" t="str">
        <f aca="false">IF(D6&gt;0,"✦ HEAVEN",IF(D6&lt;0,"✶ HELL","TIE"))</f>
        <v>✦ HEAVEN</v>
      </c>
      <c r="F6" s="44" t="s">
        <v>443</v>
      </c>
    </row>
    <row r="7" customFormat="false" ht="21.75" hidden="false" customHeight="true" outlineLevel="0" collapsed="false">
      <c r="A7" s="45" t="s">
        <v>444</v>
      </c>
      <c r="B7" s="46" t="n">
        <f aca="false">SUM('👼 Angels'!M4:M120)</f>
        <v>4722.8</v>
      </c>
      <c r="C7" s="46" t="n">
        <f aca="false">SUM('😈 Demons'!L4:L120)</f>
        <v>4045.4</v>
      </c>
      <c r="D7" s="46" t="n">
        <f aca="false">B7-C7</f>
        <v>677.4</v>
      </c>
      <c r="E7" s="47" t="str">
        <f aca="false">IF(D7&gt;0,"✦ HEAVEN",IF(D7&lt;0,"✶ HELL","TIE"))</f>
        <v>✦ HEAVEN</v>
      </c>
      <c r="F7" s="48" t="s">
        <v>445</v>
      </c>
    </row>
    <row r="8" customFormat="false" ht="21.75" hidden="false" customHeight="true" outlineLevel="0" collapsed="false">
      <c r="A8" s="41" t="s">
        <v>446</v>
      </c>
      <c r="B8" s="42" t="n">
        <f aca="false">MAX('👼 Angels'!K4:K120)</f>
        <v>100</v>
      </c>
      <c r="C8" s="42" t="n">
        <f aca="false">MAX('😈 Demons'!J4:J120)</f>
        <v>100</v>
      </c>
      <c r="D8" s="42" t="n">
        <f aca="false">B8-C8</f>
        <v>0</v>
      </c>
      <c r="E8" s="43" t="str">
        <f aca="false">IF(D8&gt;0,"✦ HEAVEN",IF(D8&lt;0,"✶ HELL","TIE"))</f>
        <v>TIE</v>
      </c>
      <c r="F8" s="44" t="s">
        <v>447</v>
      </c>
    </row>
    <row r="9" customFormat="false" ht="21.75" hidden="false" customHeight="true" outlineLevel="0" collapsed="false">
      <c r="A9" s="45" t="s">
        <v>448</v>
      </c>
      <c r="B9" s="46" t="n">
        <f aca="false">COUNTIF('👼 Angels'!D4:D120,1)</f>
        <v>14</v>
      </c>
      <c r="C9" s="46" t="n">
        <f aca="false">COUNTIF('😈 Demons'!D4:D120,9)</f>
        <v>2</v>
      </c>
      <c r="D9" s="46" t="n">
        <f aca="false">B9-C9</f>
        <v>12</v>
      </c>
      <c r="E9" s="47" t="str">
        <f aca="false">IF(D9&gt;0,"✦ HEAVEN",IF(D9&lt;0,"✶ HELL","TIE"))</f>
        <v>✦ HEAVEN</v>
      </c>
      <c r="F9" s="48" t="s">
        <v>449</v>
      </c>
    </row>
    <row r="10" customFormat="false" ht="21.75" hidden="false" customHeight="true" outlineLevel="0" collapsed="false">
      <c r="A10" s="41" t="s">
        <v>450</v>
      </c>
      <c r="B10" s="42" t="n">
        <f aca="false">'📊 Dashboard'!I11</f>
        <v>850000</v>
      </c>
      <c r="C10" s="42" t="n">
        <f aca="false">'📊 Dashboard'!I12</f>
        <v>350000</v>
      </c>
      <c r="D10" s="42" t="n">
        <f aca="false">B10-C10</f>
        <v>500000</v>
      </c>
      <c r="E10" s="43" t="str">
        <f aca="false">IF(D10&gt;0,"✦ HEAVEN",IF(D10&lt;0,"✶ HELL","TIE"))</f>
        <v>✦ HEAVEN</v>
      </c>
      <c r="F10" s="44" t="s">
        <v>451</v>
      </c>
    </row>
    <row r="11" customFormat="false" ht="21.75" hidden="false" customHeight="true" outlineLevel="0" collapsed="false">
      <c r="A11" s="45" t="s">
        <v>452</v>
      </c>
      <c r="B11" s="46" t="n">
        <f aca="false">'📊 Dashboard'!I11*365</f>
        <v>310250000</v>
      </c>
      <c r="C11" s="46" t="n">
        <f aca="false">'📊 Dashboard'!I12*365</f>
        <v>127750000</v>
      </c>
      <c r="D11" s="46" t="n">
        <f aca="false">B11-C11</f>
        <v>182500000</v>
      </c>
      <c r="E11" s="47" t="str">
        <f aca="false">IF(D11&gt;0,"✦ HEAVEN",IF(D11&lt;0,"✶ HELL","TIE"))</f>
        <v>✦ HEAVEN</v>
      </c>
      <c r="F11" s="48" t="s">
        <v>453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13" min="4" style="0" width="14"/>
  </cols>
  <sheetData>
    <row r="1" customFormat="false" ht="34.5" hidden="false" customHeight="true" outlineLevel="0" collapsed="false">
      <c r="A1" s="49" t="s">
        <v>454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15" hidden="false" customHeight="false" outlineLevel="0" collapsed="false">
      <c r="A2" s="50" t="s">
        <v>455</v>
      </c>
      <c r="B2" s="50"/>
      <c r="C2" s="50"/>
      <c r="D2" s="50"/>
      <c r="E2" s="50"/>
      <c r="F2" s="50"/>
      <c r="G2" s="50"/>
      <c r="H2" s="50"/>
      <c r="I2" s="50"/>
      <c r="J2" s="50"/>
    </row>
    <row r="4" customFormat="false" ht="26.85" hidden="false" customHeight="false" outlineLevel="0" collapsed="false">
      <c r="A4" s="40" t="s">
        <v>456</v>
      </c>
      <c r="B4" s="40" t="s">
        <v>457</v>
      </c>
      <c r="C4" s="40" t="s">
        <v>458</v>
      </c>
      <c r="D4" s="51" t="s">
        <v>459</v>
      </c>
      <c r="E4" s="51" t="s">
        <v>460</v>
      </c>
      <c r="F4" s="51" t="s">
        <v>461</v>
      </c>
      <c r="G4" s="51" t="s">
        <v>462</v>
      </c>
      <c r="H4" s="51" t="s">
        <v>463</v>
      </c>
      <c r="I4" s="51" t="s">
        <v>464</v>
      </c>
      <c r="J4" s="51" t="s">
        <v>465</v>
      </c>
      <c r="K4" s="51" t="s">
        <v>466</v>
      </c>
      <c r="L4" s="51" t="s">
        <v>467</v>
      </c>
      <c r="M4" s="51" t="s">
        <v>468</v>
      </c>
    </row>
    <row r="5" customFormat="false" ht="21.75" hidden="false" customHeight="true" outlineLevel="0" collapsed="false">
      <c r="A5" s="41" t="s">
        <v>469</v>
      </c>
      <c r="B5" s="12" t="n">
        <f aca="false">'📊 Dashboard'!I11</f>
        <v>850000</v>
      </c>
      <c r="C5" s="52" t="n">
        <v>0.02</v>
      </c>
      <c r="D5" s="53" t="n">
        <f aca="false">B5*(1+C5)^1</f>
        <v>867000</v>
      </c>
      <c r="E5" s="53" t="n">
        <f aca="false">B5*(1+C5)^2</f>
        <v>884340</v>
      </c>
      <c r="F5" s="53" t="n">
        <f aca="false">B5*(1+C5)^3</f>
        <v>902026.8</v>
      </c>
      <c r="G5" s="53" t="n">
        <f aca="false">B5*(1+C5)^4</f>
        <v>920067.336</v>
      </c>
      <c r="H5" s="53" t="n">
        <f aca="false">B5*(1+C5)^5</f>
        <v>938468.68272</v>
      </c>
      <c r="I5" s="53" t="n">
        <f aca="false">B5*(1+C5)^6</f>
        <v>957238.0563744</v>
      </c>
      <c r="J5" s="53" t="n">
        <f aca="false">B5*(1+C5)^7</f>
        <v>976382.817501888</v>
      </c>
      <c r="K5" s="53" t="n">
        <f aca="false">B5*(1+C5)^8</f>
        <v>995910.473851926</v>
      </c>
      <c r="L5" s="53" t="n">
        <f aca="false">B5*(1+C5)^9</f>
        <v>1015828.68332896</v>
      </c>
      <c r="M5" s="53" t="n">
        <f aca="false">B5*(1+C5)^10</f>
        <v>1036145.25699554</v>
      </c>
    </row>
    <row r="6" customFormat="false" ht="21.75" hidden="false" customHeight="true" outlineLevel="0" collapsed="false">
      <c r="A6" s="54" t="s">
        <v>470</v>
      </c>
      <c r="B6" s="13" t="n">
        <f aca="false">'📊 Dashboard'!I12</f>
        <v>350000</v>
      </c>
      <c r="C6" s="55" t="n">
        <v>0.015</v>
      </c>
      <c r="D6" s="56" t="n">
        <f aca="false">B6*(1+C6)^1</f>
        <v>355250</v>
      </c>
      <c r="E6" s="56" t="n">
        <f aca="false">B6*(1+C6)^2</f>
        <v>360578.75</v>
      </c>
      <c r="F6" s="56" t="n">
        <f aca="false">B6*(1+C6)^3</f>
        <v>365987.43125</v>
      </c>
      <c r="G6" s="56" t="n">
        <f aca="false">B6*(1+C6)^4</f>
        <v>371477.24271875</v>
      </c>
      <c r="H6" s="56" t="n">
        <f aca="false">B6*(1+C6)^5</f>
        <v>377049.401359531</v>
      </c>
      <c r="I6" s="56" t="n">
        <f aca="false">B6*(1+C6)^6</f>
        <v>382705.142379924</v>
      </c>
      <c r="J6" s="56" t="n">
        <f aca="false">B6*(1+C6)^7</f>
        <v>388445.719515623</v>
      </c>
      <c r="K6" s="56" t="n">
        <f aca="false">B6*(1+C6)^8</f>
        <v>394272.405308357</v>
      </c>
      <c r="L6" s="56" t="n">
        <f aca="false">B6*(1+C6)^9</f>
        <v>400186.491387982</v>
      </c>
      <c r="M6" s="56" t="n">
        <f aca="false">B6*(1+C6)^10</f>
        <v>406189.288758802</v>
      </c>
    </row>
    <row r="7" customFormat="false" ht="21.75" hidden="false" customHeight="true" outlineLevel="0" collapsed="false">
      <c r="A7" s="57" t="s">
        <v>471</v>
      </c>
      <c r="B7" s="14" t="n">
        <f aca="false">'📊 Dashboard'!I13</f>
        <v>144000</v>
      </c>
      <c r="C7" s="58" t="n">
        <v>0.01</v>
      </c>
      <c r="D7" s="59" t="n">
        <f aca="false">B7*(1+C7)^1</f>
        <v>145440</v>
      </c>
      <c r="E7" s="59" t="n">
        <f aca="false">B7*(1+C7)^2</f>
        <v>146894.4</v>
      </c>
      <c r="F7" s="59" t="n">
        <f aca="false">B7*(1+C7)^3</f>
        <v>148363.344</v>
      </c>
      <c r="G7" s="59" t="n">
        <f aca="false">B7*(1+C7)^4</f>
        <v>149846.97744</v>
      </c>
      <c r="H7" s="59" t="n">
        <f aca="false">B7*(1+C7)^5</f>
        <v>151345.4472144</v>
      </c>
      <c r="I7" s="59" t="n">
        <f aca="false">B7*(1+C7)^6</f>
        <v>152858.901686544</v>
      </c>
      <c r="J7" s="59" t="n">
        <f aca="false">B7*(1+C7)^7</f>
        <v>154387.490703409</v>
      </c>
      <c r="K7" s="59" t="n">
        <f aca="false">B7*(1+C7)^8</f>
        <v>155931.365610444</v>
      </c>
      <c r="L7" s="59" t="n">
        <f aca="false">B7*(1+C7)^9</f>
        <v>157490.679266548</v>
      </c>
      <c r="M7" s="59" t="n">
        <f aca="false">B7*(1+C7)^10</f>
        <v>159065.586059213</v>
      </c>
    </row>
    <row r="8" customFormat="false" ht="21.75" hidden="false" customHeight="true" outlineLevel="0" collapsed="false">
      <c r="A8" s="60" t="s">
        <v>472</v>
      </c>
      <c r="B8" s="61" t="n">
        <f aca="false">B5-B6</f>
        <v>500000</v>
      </c>
      <c r="C8" s="62" t="s">
        <v>473</v>
      </c>
      <c r="D8" s="63" t="n">
        <f aca="false">D5-D6</f>
        <v>511750</v>
      </c>
      <c r="E8" s="63" t="n">
        <f aca="false">E5-E6</f>
        <v>523761.25</v>
      </c>
      <c r="F8" s="63" t="n">
        <f aca="false">F5-F6</f>
        <v>536039.36875</v>
      </c>
      <c r="G8" s="63" t="n">
        <f aca="false">G5-G6</f>
        <v>548590.09328125</v>
      </c>
      <c r="H8" s="63" t="n">
        <f aca="false">H5-H6</f>
        <v>561419.281360469</v>
      </c>
      <c r="I8" s="63" t="n">
        <f aca="false">I5-I6</f>
        <v>574532.913994476</v>
      </c>
      <c r="J8" s="63" t="n">
        <f aca="false">J5-J6</f>
        <v>587937.097986265</v>
      </c>
      <c r="K8" s="63" t="n">
        <f aca="false">K5-K6</f>
        <v>601638.068543569</v>
      </c>
      <c r="L8" s="63" t="n">
        <f aca="false">L5-L6</f>
        <v>615642.191940982</v>
      </c>
      <c r="M8" s="63" t="n">
        <f aca="false">M5-M6</f>
        <v>629955.968236742</v>
      </c>
    </row>
    <row r="9" customFormat="false" ht="21.75" hidden="false" customHeight="true" outlineLevel="0" collapsed="false">
      <c r="A9" s="60" t="s">
        <v>474</v>
      </c>
      <c r="B9" s="61" t="n">
        <f aca="false">B8*365</f>
        <v>182500000</v>
      </c>
      <c r="C9" s="62" t="s">
        <v>473</v>
      </c>
      <c r="D9" s="63" t="n">
        <f aca="false">D8*365</f>
        <v>186788750</v>
      </c>
      <c r="E9" s="63" t="n">
        <f aca="false">E8*365</f>
        <v>191172856.25</v>
      </c>
      <c r="F9" s="63" t="n">
        <f aca="false">F8*365</f>
        <v>195654369.59375</v>
      </c>
      <c r="G9" s="63" t="n">
        <f aca="false">G8*365</f>
        <v>200235384.047656</v>
      </c>
      <c r="H9" s="63" t="n">
        <f aca="false">H8*365</f>
        <v>204918037.696571</v>
      </c>
      <c r="I9" s="63" t="n">
        <f aca="false">I8*365</f>
        <v>209704513.607984</v>
      </c>
      <c r="J9" s="63" t="n">
        <f aca="false">J8*365</f>
        <v>214597040.764987</v>
      </c>
      <c r="K9" s="63" t="n">
        <f aca="false">K8*365</f>
        <v>219597895.018403</v>
      </c>
      <c r="L9" s="63" t="n">
        <f aca="false">L8*365</f>
        <v>224709400.058458</v>
      </c>
      <c r="M9" s="63" t="n">
        <f aca="false">M8*365</f>
        <v>229933928.406411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8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34.5" hidden="false" customHeight="true" outlineLevel="0" collapsed="false">
      <c r="A1" s="64" t="s">
        <v>475</v>
      </c>
      <c r="B1" s="64"/>
      <c r="C1" s="64"/>
      <c r="D1" s="64"/>
      <c r="E1" s="64"/>
      <c r="F1" s="64"/>
      <c r="G1" s="64"/>
      <c r="H1" s="64"/>
      <c r="I1" s="64"/>
      <c r="J1" s="64"/>
    </row>
    <row r="3" customFormat="false" ht="34.5" hidden="false" customHeight="true" outlineLevel="0" collapsed="false">
      <c r="A3" s="65" t="s">
        <v>476</v>
      </c>
      <c r="B3" s="65" t="s">
        <v>477</v>
      </c>
      <c r="C3" s="65" t="s">
        <v>478</v>
      </c>
      <c r="D3" s="65" t="s">
        <v>479</v>
      </c>
      <c r="E3" s="65" t="s">
        <v>480</v>
      </c>
      <c r="F3" s="65" t="s">
        <v>481</v>
      </c>
      <c r="G3" s="65" t="s">
        <v>482</v>
      </c>
      <c r="H3" s="65" t="s">
        <v>483</v>
      </c>
      <c r="I3" s="65" t="s">
        <v>484</v>
      </c>
      <c r="J3" s="65" t="s">
        <v>485</v>
      </c>
    </row>
    <row r="4" customFormat="false" ht="30" hidden="false" customHeight="true" outlineLevel="0" collapsed="false">
      <c r="A4" s="18" t="s">
        <v>486</v>
      </c>
      <c r="B4" s="18" t="s">
        <v>487</v>
      </c>
      <c r="C4" s="18" t="s">
        <v>488</v>
      </c>
      <c r="D4" s="18" t="s">
        <v>489</v>
      </c>
      <c r="E4" s="18" t="s">
        <v>490</v>
      </c>
      <c r="F4" s="18" t="s">
        <v>491</v>
      </c>
      <c r="G4" s="17" t="s">
        <v>492</v>
      </c>
      <c r="H4" s="18" t="s">
        <v>493</v>
      </c>
      <c r="I4" s="17" t="s">
        <v>494</v>
      </c>
      <c r="J4" s="17" t="s">
        <v>495</v>
      </c>
    </row>
    <row r="5" customFormat="false" ht="30" hidden="false" customHeight="true" outlineLevel="0" collapsed="false">
      <c r="A5" s="66" t="s">
        <v>496</v>
      </c>
      <c r="B5" s="66" t="s">
        <v>497</v>
      </c>
      <c r="C5" s="66" t="s">
        <v>498</v>
      </c>
      <c r="D5" s="66" t="s">
        <v>499</v>
      </c>
      <c r="E5" s="66" t="s">
        <v>500</v>
      </c>
      <c r="F5" s="66" t="s">
        <v>501</v>
      </c>
      <c r="G5" s="67" t="s">
        <v>502</v>
      </c>
      <c r="H5" s="66" t="s">
        <v>503</v>
      </c>
      <c r="I5" s="67" t="s">
        <v>504</v>
      </c>
      <c r="J5" s="67" t="s">
        <v>505</v>
      </c>
    </row>
    <row r="6" customFormat="false" ht="30" hidden="false" customHeight="true" outlineLevel="0" collapsed="false">
      <c r="A6" s="18" t="s">
        <v>506</v>
      </c>
      <c r="B6" s="18" t="s">
        <v>507</v>
      </c>
      <c r="C6" s="18" t="s">
        <v>49</v>
      </c>
      <c r="D6" s="18" t="s">
        <v>508</v>
      </c>
      <c r="E6" s="18" t="s">
        <v>509</v>
      </c>
      <c r="F6" s="18" t="s">
        <v>510</v>
      </c>
      <c r="G6" s="17" t="s">
        <v>511</v>
      </c>
      <c r="H6" s="18" t="s">
        <v>512</v>
      </c>
      <c r="I6" s="17" t="s">
        <v>494</v>
      </c>
      <c r="J6" s="17" t="s">
        <v>513</v>
      </c>
    </row>
    <row r="7" customFormat="false" ht="30" hidden="false" customHeight="true" outlineLevel="0" collapsed="false">
      <c r="A7" s="18" t="s">
        <v>514</v>
      </c>
      <c r="B7" s="18" t="s">
        <v>515</v>
      </c>
      <c r="C7" s="18" t="s">
        <v>516</v>
      </c>
      <c r="D7" s="18" t="s">
        <v>517</v>
      </c>
      <c r="E7" s="18" t="s">
        <v>518</v>
      </c>
      <c r="F7" s="18" t="s">
        <v>519</v>
      </c>
      <c r="G7" s="17" t="s">
        <v>520</v>
      </c>
      <c r="H7" s="18" t="s">
        <v>521</v>
      </c>
      <c r="I7" s="17" t="s">
        <v>494</v>
      </c>
      <c r="J7" s="17" t="s">
        <v>522</v>
      </c>
    </row>
    <row r="8" customFormat="false" ht="30" hidden="false" customHeight="true" outlineLevel="0" collapsed="false">
      <c r="A8" s="18" t="s">
        <v>523</v>
      </c>
      <c r="B8" s="18" t="s">
        <v>524</v>
      </c>
      <c r="C8" s="18" t="s">
        <v>525</v>
      </c>
      <c r="D8" s="18" t="s">
        <v>526</v>
      </c>
      <c r="E8" s="18" t="s">
        <v>527</v>
      </c>
      <c r="F8" s="18" t="s">
        <v>528</v>
      </c>
      <c r="G8" s="17" t="s">
        <v>529</v>
      </c>
      <c r="H8" s="18" t="s">
        <v>530</v>
      </c>
      <c r="I8" s="17" t="s">
        <v>494</v>
      </c>
      <c r="J8" s="17" t="s">
        <v>531</v>
      </c>
    </row>
    <row r="9" customFormat="false" ht="30" hidden="false" customHeight="true" outlineLevel="0" collapsed="false">
      <c r="A9" s="18" t="s">
        <v>532</v>
      </c>
      <c r="B9" s="18" t="s">
        <v>533</v>
      </c>
      <c r="C9" s="18" t="s">
        <v>534</v>
      </c>
      <c r="D9" s="18" t="s">
        <v>535</v>
      </c>
      <c r="E9" s="18" t="s">
        <v>536</v>
      </c>
      <c r="F9" s="18" t="s">
        <v>537</v>
      </c>
      <c r="G9" s="17" t="s">
        <v>538</v>
      </c>
      <c r="H9" s="18" t="s">
        <v>539</v>
      </c>
      <c r="I9" s="17" t="s">
        <v>494</v>
      </c>
      <c r="J9" s="17" t="s">
        <v>540</v>
      </c>
    </row>
    <row r="10" customFormat="false" ht="30" hidden="false" customHeight="true" outlineLevel="0" collapsed="false">
      <c r="A10" s="18" t="s">
        <v>541</v>
      </c>
      <c r="B10" s="18" t="s">
        <v>542</v>
      </c>
      <c r="C10" s="18" t="s">
        <v>543</v>
      </c>
      <c r="D10" s="18" t="s">
        <v>544</v>
      </c>
      <c r="E10" s="18" t="s">
        <v>545</v>
      </c>
      <c r="F10" s="18" t="s">
        <v>546</v>
      </c>
      <c r="G10" s="17" t="s">
        <v>502</v>
      </c>
      <c r="H10" s="18" t="s">
        <v>547</v>
      </c>
      <c r="I10" s="17" t="s">
        <v>494</v>
      </c>
      <c r="J10" s="17" t="s">
        <v>548</v>
      </c>
    </row>
    <row r="11" customFormat="false" ht="30" hidden="false" customHeight="true" outlineLevel="0" collapsed="false">
      <c r="A11" s="18" t="s">
        <v>541</v>
      </c>
      <c r="B11" s="18" t="s">
        <v>549</v>
      </c>
      <c r="C11" s="18" t="s">
        <v>550</v>
      </c>
      <c r="D11" s="18" t="s">
        <v>551</v>
      </c>
      <c r="E11" s="18" t="s">
        <v>552</v>
      </c>
      <c r="F11" s="18" t="s">
        <v>553</v>
      </c>
      <c r="G11" s="17" t="s">
        <v>554</v>
      </c>
      <c r="H11" s="18" t="s">
        <v>555</v>
      </c>
      <c r="I11" s="17" t="s">
        <v>494</v>
      </c>
      <c r="J11" s="17" t="s">
        <v>556</v>
      </c>
    </row>
    <row r="12" customFormat="false" ht="30" hidden="false" customHeight="true" outlineLevel="0" collapsed="false">
      <c r="A12" s="18" t="s">
        <v>557</v>
      </c>
      <c r="B12" s="18" t="s">
        <v>558</v>
      </c>
      <c r="C12" s="18" t="s">
        <v>559</v>
      </c>
      <c r="D12" s="18" t="s">
        <v>560</v>
      </c>
      <c r="E12" s="18" t="s">
        <v>561</v>
      </c>
      <c r="F12" s="18" t="s">
        <v>562</v>
      </c>
      <c r="G12" s="17" t="s">
        <v>563</v>
      </c>
      <c r="H12" s="18" t="s">
        <v>564</v>
      </c>
      <c r="I12" s="17" t="s">
        <v>557</v>
      </c>
      <c r="J12" s="17" t="s">
        <v>565</v>
      </c>
    </row>
    <row r="13" customFormat="false" ht="30" hidden="false" customHeight="true" outlineLevel="0" collapsed="false">
      <c r="A13" s="18" t="s">
        <v>557</v>
      </c>
      <c r="B13" s="18" t="s">
        <v>566</v>
      </c>
      <c r="C13" s="18" t="s">
        <v>567</v>
      </c>
      <c r="D13" s="18" t="s">
        <v>568</v>
      </c>
      <c r="E13" s="18" t="s">
        <v>569</v>
      </c>
      <c r="F13" s="18" t="s">
        <v>570</v>
      </c>
      <c r="G13" s="17" t="s">
        <v>571</v>
      </c>
      <c r="H13" s="18" t="s">
        <v>572</v>
      </c>
      <c r="I13" s="17" t="s">
        <v>494</v>
      </c>
      <c r="J13" s="17" t="s">
        <v>573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4.5" hidden="false" customHeight="true" outlineLevel="0" collapsed="false">
      <c r="A1" s="64" t="s">
        <v>574</v>
      </c>
      <c r="B1" s="64"/>
      <c r="C1" s="64"/>
      <c r="D1" s="64"/>
      <c r="E1" s="64"/>
      <c r="F1" s="64"/>
      <c r="G1" s="64"/>
      <c r="H1" s="64"/>
      <c r="I1" s="64"/>
      <c r="J1" s="64"/>
    </row>
    <row r="3" customFormat="false" ht="34.5" hidden="false" customHeight="true" outlineLevel="0" collapsed="false">
      <c r="A3" s="65" t="s">
        <v>575</v>
      </c>
      <c r="B3" s="65" t="s">
        <v>576</v>
      </c>
      <c r="C3" s="65" t="s">
        <v>577</v>
      </c>
      <c r="D3" s="65" t="s">
        <v>578</v>
      </c>
      <c r="E3" s="65" t="s">
        <v>579</v>
      </c>
      <c r="F3" s="65" t="s">
        <v>580</v>
      </c>
      <c r="G3" s="65" t="s">
        <v>581</v>
      </c>
      <c r="H3" s="65" t="s">
        <v>582</v>
      </c>
      <c r="I3" s="65" t="s">
        <v>583</v>
      </c>
      <c r="J3" s="65" t="s">
        <v>584</v>
      </c>
    </row>
    <row r="4" customFormat="false" ht="24.75" hidden="false" customHeight="true" outlineLevel="0" collapsed="false">
      <c r="A4" s="68" t="s">
        <v>223</v>
      </c>
      <c r="B4" s="68" t="s">
        <v>585</v>
      </c>
      <c r="C4" s="68" t="s">
        <v>586</v>
      </c>
      <c r="D4" s="68" t="s">
        <v>587</v>
      </c>
      <c r="E4" s="68" t="n">
        <v>9</v>
      </c>
      <c r="F4" s="68" t="s">
        <v>588</v>
      </c>
      <c r="G4" s="68" t="s">
        <v>589</v>
      </c>
      <c r="H4" s="68" t="s">
        <v>590</v>
      </c>
      <c r="I4" s="68" t="n">
        <v>1</v>
      </c>
      <c r="J4" s="69" t="n">
        <v>0.72</v>
      </c>
    </row>
    <row r="5" customFormat="false" ht="24.75" hidden="false" customHeight="true" outlineLevel="0" collapsed="false">
      <c r="A5" s="70" t="s">
        <v>254</v>
      </c>
      <c r="B5" s="70" t="s">
        <v>591</v>
      </c>
      <c r="C5" s="70" t="s">
        <v>252</v>
      </c>
      <c r="D5" s="70" t="s">
        <v>43</v>
      </c>
      <c r="E5" s="70" t="n">
        <v>7</v>
      </c>
      <c r="F5" s="70" t="s">
        <v>592</v>
      </c>
      <c r="G5" s="70" t="s">
        <v>593</v>
      </c>
      <c r="H5" s="70" t="s">
        <v>594</v>
      </c>
      <c r="I5" s="70" t="n">
        <v>2</v>
      </c>
      <c r="J5" s="71" t="n">
        <v>0.65</v>
      </c>
    </row>
    <row r="6" customFormat="false" ht="24.75" hidden="false" customHeight="true" outlineLevel="0" collapsed="false">
      <c r="A6" s="72" t="s">
        <v>269</v>
      </c>
      <c r="B6" s="72" t="s">
        <v>595</v>
      </c>
      <c r="C6" s="72" t="s">
        <v>267</v>
      </c>
      <c r="D6" s="72" t="s">
        <v>80</v>
      </c>
      <c r="E6" s="72" t="n">
        <v>8</v>
      </c>
      <c r="F6" s="72" t="s">
        <v>596</v>
      </c>
      <c r="G6" s="72" t="s">
        <v>589</v>
      </c>
      <c r="H6" s="72" t="s">
        <v>597</v>
      </c>
      <c r="I6" s="72" t="n">
        <v>3</v>
      </c>
      <c r="J6" s="73" t="n">
        <v>0.68</v>
      </c>
    </row>
    <row r="7" customFormat="false" ht="24.75" hidden="false" customHeight="true" outlineLevel="0" collapsed="false">
      <c r="A7" s="74" t="s">
        <v>262</v>
      </c>
      <c r="B7" s="74" t="s">
        <v>598</v>
      </c>
      <c r="C7" s="74" t="s">
        <v>260</v>
      </c>
      <c r="D7" s="74" t="s">
        <v>49</v>
      </c>
      <c r="E7" s="74" t="n">
        <v>5</v>
      </c>
      <c r="F7" s="74" t="s">
        <v>599</v>
      </c>
      <c r="G7" s="74" t="s">
        <v>600</v>
      </c>
      <c r="H7" s="74" t="s">
        <v>601</v>
      </c>
      <c r="I7" s="74" t="n">
        <v>4</v>
      </c>
      <c r="J7" s="75" t="n">
        <v>0.8</v>
      </c>
    </row>
    <row r="8" customFormat="false" ht="24.75" hidden="false" customHeight="true" outlineLevel="0" collapsed="false">
      <c r="A8" s="76" t="s">
        <v>247</v>
      </c>
      <c r="B8" s="76" t="s">
        <v>602</v>
      </c>
      <c r="C8" s="76" t="s">
        <v>245</v>
      </c>
      <c r="D8" s="76" t="s">
        <v>117</v>
      </c>
      <c r="E8" s="76" t="n">
        <v>4</v>
      </c>
      <c r="F8" s="76" t="s">
        <v>603</v>
      </c>
      <c r="G8" s="76" t="s">
        <v>600</v>
      </c>
      <c r="H8" s="76" t="s">
        <v>604</v>
      </c>
      <c r="I8" s="76" t="n">
        <v>5</v>
      </c>
      <c r="J8" s="77" t="n">
        <v>0.76</v>
      </c>
    </row>
    <row r="9" customFormat="false" ht="24.75" hidden="false" customHeight="true" outlineLevel="0" collapsed="false">
      <c r="A9" s="78" t="s">
        <v>231</v>
      </c>
      <c r="B9" s="78" t="s">
        <v>605</v>
      </c>
      <c r="C9" s="78" t="s">
        <v>229</v>
      </c>
      <c r="D9" s="78" t="s">
        <v>93</v>
      </c>
      <c r="E9" s="78" t="n">
        <v>3</v>
      </c>
      <c r="F9" s="78" t="s">
        <v>606</v>
      </c>
      <c r="G9" s="78" t="s">
        <v>593</v>
      </c>
      <c r="H9" s="78" t="s">
        <v>607</v>
      </c>
      <c r="I9" s="78" t="n">
        <v>6</v>
      </c>
      <c r="J9" s="79" t="n">
        <v>0.78</v>
      </c>
    </row>
    <row r="10" customFormat="false" ht="24.75" hidden="false" customHeight="true" outlineLevel="0" collapsed="false">
      <c r="A10" s="80" t="s">
        <v>239</v>
      </c>
      <c r="B10" s="80" t="s">
        <v>608</v>
      </c>
      <c r="C10" s="80" t="s">
        <v>237</v>
      </c>
      <c r="D10" s="80" t="s">
        <v>123</v>
      </c>
      <c r="E10" s="80" t="n">
        <v>2</v>
      </c>
      <c r="F10" s="80" t="s">
        <v>599</v>
      </c>
      <c r="G10" s="80" t="s">
        <v>593</v>
      </c>
      <c r="H10" s="80" t="s">
        <v>607</v>
      </c>
      <c r="I10" s="80" t="n">
        <v>7</v>
      </c>
      <c r="J10" s="81" t="n">
        <v>0.82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2026-03-21T23:38:28Z</dcterms:created>
  <dc:creator>openpyxl</dc:creator>
  <dc:description/>
  <dc:language>en-US</dc:language>
  <cp:lastModifiedBy/>
  <dcterms:modified xsi:type="dcterms:W3CDTF">2026-03-21T23:38:29Z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